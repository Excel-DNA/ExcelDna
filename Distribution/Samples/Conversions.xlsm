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ExcelDna\Current\Distribution\Samples\"/>
    </mc:Choice>
  </mc:AlternateContent>
  <bookViews>
    <workbookView xWindow="0" yWindow="0" windowWidth="12705" windowHeight="661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8" i="1" l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B52" i="1"/>
  <c r="A43" i="1" l="1"/>
  <c r="A42" i="1"/>
  <c r="A29" i="1"/>
  <c r="C6" i="1"/>
  <c r="M7" i="1"/>
  <c r="G9" i="1"/>
  <c r="O10" i="1"/>
  <c r="K12" i="1"/>
  <c r="C14" i="1"/>
  <c r="M15" i="1"/>
  <c r="M21" i="1"/>
  <c r="G23" i="1"/>
  <c r="O24" i="1"/>
  <c r="E21" i="1" a="1"/>
  <c r="E5" i="1" a="1"/>
  <c r="D6" i="1" a="1"/>
  <c r="P6" i="1"/>
  <c r="N7" i="1"/>
  <c r="L8" i="1"/>
  <c r="J9" i="1"/>
  <c r="I10" i="1" a="1"/>
  <c r="H11" i="1" a="1"/>
  <c r="F12" i="1"/>
  <c r="E13" i="1" a="1"/>
  <c r="D14" i="1" a="1"/>
  <c r="P14" i="1"/>
  <c r="N15" i="1"/>
  <c r="L16" i="1"/>
  <c r="F22" i="1"/>
  <c r="K5" i="1"/>
  <c r="C7" i="1"/>
  <c r="M8" i="1"/>
  <c r="G10" i="1"/>
  <c r="O11" i="1"/>
  <c r="K13" i="1"/>
  <c r="C15" i="1"/>
  <c r="M16" i="1"/>
  <c r="G22" i="1"/>
  <c r="O23" i="1"/>
  <c r="K25" i="1"/>
  <c r="N6" i="1"/>
  <c r="H10" i="1" a="1"/>
  <c r="P13" i="1"/>
  <c r="P21" i="1"/>
  <c r="P23" i="1"/>
  <c r="L25" i="1"/>
  <c r="N25" i="1"/>
  <c r="E25" i="1" a="1"/>
  <c r="P7" i="1"/>
  <c r="I11" i="1" a="1"/>
  <c r="D15" i="1" a="1"/>
  <c r="L22" i="1"/>
  <c r="P11" i="1"/>
  <c r="F24" i="1"/>
  <c r="F7" i="1"/>
  <c r="N10" i="1"/>
  <c r="H14" i="1" a="1"/>
  <c r="H22" i="1" a="1"/>
  <c r="E24" i="1" a="1"/>
  <c r="P25" i="1"/>
  <c r="H8" i="1" a="1"/>
  <c r="H16" i="1" a="1"/>
  <c r="L24" i="1"/>
  <c r="J40" i="1"/>
  <c r="I42" i="1" a="1"/>
  <c r="I46" i="1" a="1"/>
  <c r="H48" i="1" a="1"/>
  <c r="F50" i="1"/>
  <c r="O40" i="1"/>
  <c r="E41" i="1" a="1"/>
  <c r="M42" i="1"/>
  <c r="D43" i="1" a="1"/>
  <c r="P43" i="1"/>
  <c r="G46" i="1"/>
  <c r="L47" i="1"/>
  <c r="C48" i="1"/>
  <c r="J49" i="1"/>
  <c r="F40" i="1"/>
  <c r="O41" i="1"/>
  <c r="E42" i="1" a="1"/>
  <c r="M43" i="1"/>
  <c r="E46" i="1" a="1"/>
  <c r="M47" i="1"/>
  <c r="D48" i="1" a="1"/>
  <c r="P48" i="1"/>
  <c r="K49" i="1"/>
  <c r="B50" i="1"/>
  <c r="N50" i="1"/>
  <c r="L49" i="1"/>
  <c r="K6" i="1"/>
  <c r="C8" i="1"/>
  <c r="M9" i="1"/>
  <c r="G11" i="1"/>
  <c r="O12" i="1"/>
  <c r="K14" i="1"/>
  <c r="C16" i="1"/>
  <c r="C22" i="1"/>
  <c r="M23" i="1"/>
  <c r="G25" i="1"/>
  <c r="J21" i="1"/>
  <c r="H5" i="1" a="1"/>
  <c r="F6" i="1"/>
  <c r="E7" i="1" a="1"/>
  <c r="D8" i="1" a="1"/>
  <c r="P8" i="1"/>
  <c r="N9" i="1"/>
  <c r="L10" i="1"/>
  <c r="J11" i="1"/>
  <c r="I12" i="1" a="1"/>
  <c r="H13" i="1" a="1"/>
  <c r="F14" i="1"/>
  <c r="E15" i="1" a="1"/>
  <c r="D16" i="1" a="1"/>
  <c r="P16" i="1"/>
  <c r="O5" i="1"/>
  <c r="K7" i="1"/>
  <c r="C9" i="1"/>
  <c r="M10" i="1"/>
  <c r="G12" i="1"/>
  <c r="O13" i="1"/>
  <c r="K15" i="1"/>
  <c r="C21" i="1"/>
  <c r="M22" i="1"/>
  <c r="G24" i="1"/>
  <c r="O25" i="1"/>
  <c r="L7" i="1"/>
  <c r="F11" i="1"/>
  <c r="N14" i="1"/>
  <c r="J22" i="1"/>
  <c r="H24" i="1" a="1"/>
  <c r="J23" i="1"/>
  <c r="E10" i="1" a="1"/>
  <c r="F5" i="1"/>
  <c r="N8" i="1"/>
  <c r="H12" i="1" a="1"/>
  <c r="P15" i="1"/>
  <c r="E23" i="1" a="1"/>
  <c r="I15" i="1" a="1"/>
  <c r="J25" i="1"/>
  <c r="E8" i="1" a="1"/>
  <c r="L11" i="1"/>
  <c r="F15" i="1"/>
  <c r="N22" i="1"/>
  <c r="J24" i="1"/>
  <c r="L5" i="1"/>
  <c r="F9" i="1"/>
  <c r="B40" i="1"/>
  <c r="N40" i="1"/>
  <c r="G41" i="1"/>
  <c r="L42" i="1"/>
  <c r="C43" i="1"/>
  <c r="L46" i="1"/>
  <c r="C47" i="1"/>
  <c r="J48" i="1"/>
  <c r="I50" i="1" a="1"/>
  <c r="H41" i="1" a="1"/>
  <c r="F43" i="1"/>
  <c r="M46" i="1"/>
  <c r="D47" i="1" a="1"/>
  <c r="P47" i="1"/>
  <c r="B49" i="1"/>
  <c r="N49" i="1"/>
  <c r="G50" i="1"/>
  <c r="I40" i="1" a="1"/>
  <c r="H42" i="1" a="1"/>
  <c r="H46" i="1" a="1"/>
  <c r="F48" i="1"/>
  <c r="O49" i="1"/>
  <c r="E50" i="1" a="1"/>
  <c r="J43" i="1"/>
  <c r="H47" i="1" a="1"/>
  <c r="C50" i="1"/>
  <c r="G40" i="1"/>
  <c r="O6" i="1"/>
  <c r="C10" i="1"/>
  <c r="G13" i="1"/>
  <c r="K16" i="1"/>
  <c r="C24" i="1"/>
  <c r="D22" i="1" a="1"/>
  <c r="J5" i="1"/>
  <c r="H7" i="1" a="1"/>
  <c r="E9" i="1" a="1"/>
  <c r="P10" i="1"/>
  <c r="L12" i="1"/>
  <c r="I14" i="1" a="1"/>
  <c r="F16" i="1"/>
  <c r="H21" i="1" a="1"/>
  <c r="G6" i="1"/>
  <c r="K9" i="1"/>
  <c r="M12" i="1"/>
  <c r="O15" i="1"/>
  <c r="C23" i="1"/>
  <c r="J8" i="1"/>
  <c r="L15" i="1"/>
  <c r="D23" i="1" a="1"/>
  <c r="I24" i="1" a="1"/>
  <c r="I22" i="1" a="1"/>
  <c r="L9" i="1"/>
  <c r="N16" i="1"/>
  <c r="D24" i="1" a="1"/>
  <c r="I5" i="1" a="1"/>
  <c r="J12" i="1"/>
  <c r="D25" i="1" a="1"/>
  <c r="D11" i="1" a="1"/>
  <c r="E40" i="1" a="1"/>
  <c r="P46" i="1"/>
  <c r="O47" i="1"/>
  <c r="E48" i="1" a="1"/>
  <c r="P50" i="1"/>
  <c r="N41" i="1"/>
  <c r="G42" i="1"/>
  <c r="I43" i="1" a="1"/>
  <c r="D40" i="1" a="1"/>
  <c r="N46" i="1"/>
  <c r="G47" i="1"/>
  <c r="I48" i="1" a="1"/>
  <c r="C49" i="1"/>
  <c r="J50" i="1"/>
  <c r="I41" i="1" a="1"/>
  <c r="N43" i="1"/>
  <c r="M48" i="1"/>
  <c r="L41" i="1"/>
  <c r="B47" i="1"/>
  <c r="H43" i="1" a="1"/>
  <c r="P41" i="1"/>
  <c r="K50" i="1"/>
  <c r="G3" i="1"/>
  <c r="F23" i="1"/>
  <c r="M49" i="1"/>
  <c r="H49" i="1" a="1"/>
  <c r="K41" i="1"/>
  <c r="B46" i="1"/>
  <c r="F41" i="1"/>
  <c r="O50" i="1"/>
  <c r="J47" i="1"/>
  <c r="M40" i="1"/>
  <c r="C46" i="1"/>
  <c r="O46" i="1"/>
  <c r="M5" i="1"/>
  <c r="C12" i="1"/>
  <c r="G15" i="1"/>
  <c r="O22" i="1"/>
  <c r="G7" i="1"/>
  <c r="K10" i="1"/>
  <c r="M13" i="1"/>
  <c r="O16" i="1"/>
  <c r="G21" i="1"/>
  <c r="K24" i="1"/>
  <c r="N5" i="1"/>
  <c r="J7" i="1"/>
  <c r="H9" i="1" a="1"/>
  <c r="E11" i="1" a="1"/>
  <c r="P12" i="1"/>
  <c r="L14" i="1"/>
  <c r="I16" i="1" a="1"/>
  <c r="N21" i="1"/>
  <c r="M6" i="1"/>
  <c r="O9" i="1"/>
  <c r="C13" i="1"/>
  <c r="G16" i="1"/>
  <c r="K23" i="1"/>
  <c r="I9" i="1" a="1"/>
  <c r="J16" i="1"/>
  <c r="I23" i="1" a="1"/>
  <c r="H25" i="1" a="1"/>
  <c r="N23" i="1"/>
  <c r="J10" i="1"/>
  <c r="P24" i="1"/>
  <c r="H6" i="1" a="1"/>
  <c r="I13" i="1" a="1"/>
  <c r="I21" i="1" a="1"/>
  <c r="I25" i="1" a="1"/>
  <c r="L13" i="1"/>
  <c r="H40" i="1" a="1"/>
  <c r="M41" i="1"/>
  <c r="D42" i="1" a="1"/>
  <c r="N48" i="1"/>
  <c r="G49" i="1"/>
  <c r="L43" i="1"/>
  <c r="E49" i="1" a="1"/>
  <c r="L40" i="1"/>
  <c r="C41" i="1"/>
  <c r="B42" i="1"/>
  <c r="L48" i="1"/>
  <c r="D49" i="1" a="1"/>
  <c r="C42" i="1"/>
  <c r="N47" i="1"/>
  <c r="E47" i="1" a="1"/>
  <c r="G5" i="1"/>
  <c r="K8" i="1"/>
  <c r="M11" i="1"/>
  <c r="O14" i="1"/>
  <c r="K22" i="1"/>
  <c r="M25" i="1"/>
  <c r="I6" i="1" a="1"/>
  <c r="F8" i="1"/>
  <c r="D10" i="1" a="1"/>
  <c r="N11" i="1"/>
  <c r="J13" i="1"/>
  <c r="H15" i="1" a="1"/>
  <c r="O7" i="1"/>
  <c r="C11" i="1"/>
  <c r="G14" i="1"/>
  <c r="K21" i="1"/>
  <c r="M24" i="1"/>
  <c r="D5" i="1" a="1"/>
  <c r="E12" i="1" a="1"/>
  <c r="N24" i="1"/>
  <c r="N12" i="1"/>
  <c r="E6" i="1" a="1"/>
  <c r="F13" i="1"/>
  <c r="F21" i="1"/>
  <c r="D9" i="1" a="1"/>
  <c r="E16" i="1" a="1"/>
  <c r="J6" i="1"/>
  <c r="L21" i="1"/>
  <c r="F42" i="1"/>
  <c r="K43" i="1"/>
  <c r="D46" i="1" a="1"/>
  <c r="D50" i="1" a="1"/>
  <c r="C40" i="1"/>
  <c r="B41" i="1"/>
  <c r="F47" i="1"/>
  <c r="O48" i="1"/>
  <c r="M50" i="1"/>
  <c r="P40" i="1"/>
  <c r="J42" i="1"/>
  <c r="K42" i="1"/>
  <c r="P49" i="1"/>
  <c r="O42" i="1"/>
  <c r="I49" i="1" a="1"/>
  <c r="A44" i="1"/>
  <c r="O8" i="1"/>
  <c r="D12" i="1" a="1"/>
  <c r="M14" i="1"/>
  <c r="P5" i="1"/>
  <c r="J14" i="1"/>
  <c r="P22" i="1"/>
  <c r="I7" i="1" a="1"/>
  <c r="P42" i="1"/>
  <c r="L50" i="1"/>
  <c r="B43" i="1"/>
  <c r="E14" i="1" a="1"/>
  <c r="K47" i="1"/>
  <c r="J41" i="1"/>
  <c r="N42" i="1"/>
  <c r="G43" i="1"/>
  <c r="H50" i="1" a="1"/>
  <c r="F10" i="1"/>
  <c r="C25" i="1"/>
  <c r="E22" i="1" a="1"/>
  <c r="O43" i="1"/>
  <c r="K46" i="1"/>
  <c r="L6" i="1"/>
  <c r="N13" i="1"/>
  <c r="C5" i="1"/>
  <c r="D13" i="1" a="1"/>
  <c r="D7" i="1" a="1"/>
  <c r="P9" i="1"/>
  <c r="H23" i="1" a="1"/>
  <c r="B48" i="1"/>
  <c r="E43" i="1" a="1"/>
  <c r="F49" i="1"/>
  <c r="I8" i="1" a="1"/>
  <c r="J15" i="1"/>
  <c r="G8" i="1"/>
  <c r="O21" i="1"/>
  <c r="D21" i="1" a="1"/>
  <c r="E44" i="1" a="1"/>
  <c r="I47" i="1" a="1"/>
  <c r="I44" i="1" a="1"/>
  <c r="D41" i="1" a="1"/>
  <c r="K11" i="1"/>
  <c r="F25" i="1"/>
  <c r="L23" i="1"/>
  <c r="F46" i="1"/>
  <c r="K40" i="1"/>
  <c r="J46" i="1"/>
  <c r="G48" i="1"/>
  <c r="F3" i="1"/>
  <c r="A45" i="1"/>
  <c r="P45" i="1"/>
  <c r="H45" i="1" a="1"/>
  <c r="O45" i="1"/>
  <c r="G45" i="1"/>
  <c r="J45" i="1"/>
  <c r="L45" i="1"/>
  <c r="M45" i="1"/>
  <c r="B45" i="1"/>
  <c r="N45" i="1"/>
  <c r="C45" i="1"/>
  <c r="F45" i="1"/>
  <c r="E45" i="1" a="1"/>
  <c r="K45" i="1"/>
  <c r="D45" i="1" a="1"/>
  <c r="I45" i="1" a="1"/>
  <c r="M44" i="1"/>
  <c r="G44" i="1"/>
  <c r="B44" i="1"/>
  <c r="L44" i="1"/>
  <c r="C44" i="1"/>
  <c r="N44" i="1"/>
  <c r="F44" i="1"/>
  <c r="O44" i="1"/>
  <c r="J44" i="1"/>
  <c r="P44" i="1"/>
  <c r="D44" i="1" a="1"/>
  <c r="K44" i="1"/>
  <c r="H44" i="1" a="1"/>
  <c r="H23" i="1" l="1"/>
  <c r="H16" i="1"/>
  <c r="D11" i="1"/>
  <c r="H8" i="1"/>
  <c r="I7" i="1"/>
  <c r="I25" i="1"/>
  <c r="D25" i="1"/>
  <c r="E24" i="1"/>
  <c r="H22" i="1"/>
  <c r="I21" i="1"/>
  <c r="E16" i="1"/>
  <c r="H14" i="1"/>
  <c r="I13" i="1"/>
  <c r="D9" i="1"/>
  <c r="E8" i="1"/>
  <c r="H6" i="1"/>
  <c r="I5" i="1"/>
  <c r="I15" i="1"/>
  <c r="D24" i="1"/>
  <c r="E23" i="1"/>
  <c r="E22" i="1"/>
  <c r="D15" i="1"/>
  <c r="E14" i="1"/>
  <c r="H12" i="1"/>
  <c r="I11" i="1"/>
  <c r="D7" i="1"/>
  <c r="E6" i="1"/>
  <c r="E25" i="1"/>
  <c r="I22" i="1"/>
  <c r="E10" i="1"/>
  <c r="H25" i="1"/>
  <c r="I24" i="1"/>
  <c r="H24" i="1"/>
  <c r="I23" i="1"/>
  <c r="D23" i="1"/>
  <c r="D21" i="1"/>
  <c r="D13" i="1"/>
  <c r="E12" i="1"/>
  <c r="H10" i="1"/>
  <c r="I9" i="1"/>
  <c r="D5" i="1"/>
  <c r="H21" i="1"/>
  <c r="I16" i="1"/>
  <c r="D16" i="1"/>
  <c r="H15" i="1"/>
  <c r="E15" i="1"/>
  <c r="I14" i="1"/>
  <c r="D14" i="1"/>
  <c r="H13" i="1"/>
  <c r="E13" i="1"/>
  <c r="I12" i="1"/>
  <c r="D12" i="1"/>
  <c r="H11" i="1"/>
  <c r="E11" i="1"/>
  <c r="I10" i="1"/>
  <c r="D10" i="1"/>
  <c r="H9" i="1"/>
  <c r="E9" i="1"/>
  <c r="I8" i="1"/>
  <c r="D8" i="1"/>
  <c r="H7" i="1"/>
  <c r="E7" i="1"/>
  <c r="I6" i="1"/>
  <c r="D6" i="1"/>
  <c r="H5" i="1"/>
  <c r="E5" i="1"/>
  <c r="D22" i="1"/>
  <c r="E21" i="1"/>
  <c r="E45" i="1"/>
  <c r="H45" i="1"/>
  <c r="D45" i="1"/>
  <c r="I45" i="1"/>
  <c r="H43" i="1"/>
  <c r="D41" i="1"/>
  <c r="I49" i="1"/>
  <c r="E47" i="1"/>
  <c r="E43" i="1"/>
  <c r="D49" i="1"/>
  <c r="I41" i="1"/>
  <c r="H47" i="1"/>
  <c r="H50" i="1"/>
  <c r="E50" i="1"/>
  <c r="I48" i="1"/>
  <c r="D48" i="1"/>
  <c r="H46" i="1"/>
  <c r="E46" i="1"/>
  <c r="I44" i="1"/>
  <c r="D44" i="1"/>
  <c r="H42" i="1"/>
  <c r="E42" i="1"/>
  <c r="I40" i="1"/>
  <c r="D40" i="1"/>
  <c r="H49" i="1"/>
  <c r="E49" i="1"/>
  <c r="I47" i="1"/>
  <c r="D47" i="1"/>
  <c r="I43" i="1"/>
  <c r="D43" i="1"/>
  <c r="H41" i="1"/>
  <c r="E41" i="1"/>
  <c r="I50" i="1"/>
  <c r="D50" i="1"/>
  <c r="H48" i="1"/>
  <c r="E48" i="1"/>
  <c r="I46" i="1"/>
  <c r="D46" i="1"/>
  <c r="H44" i="1"/>
  <c r="E44" i="1"/>
  <c r="I42" i="1"/>
  <c r="D42" i="1"/>
  <c r="H40" i="1"/>
  <c r="E40" i="1"/>
  <c r="P3" i="1"/>
  <c r="N3" i="1"/>
  <c r="M3" i="1"/>
  <c r="K3" i="1"/>
  <c r="L3" i="1"/>
  <c r="J3" i="1"/>
  <c r="O3" i="1"/>
  <c r="I3" i="1" a="1"/>
  <c r="I3" i="1" l="1"/>
  <c r="H3" i="1" a="1"/>
  <c r="C3" i="1"/>
  <c r="D3" i="1" a="1"/>
  <c r="E3" i="1" a="1"/>
  <c r="E3" i="1" l="1"/>
  <c r="D3" i="1"/>
  <c r="H3" i="1"/>
  <c r="A18" i="1"/>
  <c r="A17" i="1"/>
  <c r="H17" i="1" a="1"/>
  <c r="D17" i="1" a="1"/>
  <c r="O17" i="1"/>
  <c r="K17" i="1"/>
  <c r="E17" i="1" a="1"/>
  <c r="L17" i="1"/>
  <c r="C17" i="1"/>
  <c r="N17" i="1"/>
  <c r="M17" i="1"/>
  <c r="P17" i="1"/>
  <c r="F17" i="1"/>
  <c r="I17" i="1" a="1"/>
  <c r="J17" i="1"/>
  <c r="G17" i="1"/>
  <c r="Q3" i="1"/>
  <c r="Y23" i="1"/>
  <c r="K18" i="1"/>
  <c r="E18" i="1" a="1"/>
  <c r="P18" i="1"/>
  <c r="C18" i="1"/>
  <c r="F18" i="1"/>
  <c r="D18" i="1" a="1"/>
  <c r="N18" i="1"/>
  <c r="H18" i="1" a="1"/>
  <c r="M18" i="1"/>
  <c r="L18" i="1"/>
  <c r="J18" i="1"/>
  <c r="G18" i="1"/>
  <c r="I18" i="1" a="1"/>
  <c r="O18" i="1"/>
  <c r="Q17" i="1"/>
  <c r="Q18" i="1"/>
  <c r="A19" i="1"/>
  <c r="A20" i="1"/>
  <c r="E20" i="1" a="1"/>
  <c r="I20" i="1" a="1"/>
  <c r="F20" i="1"/>
  <c r="P20" i="1"/>
  <c r="H20" i="1" a="1"/>
  <c r="N20" i="1"/>
  <c r="O20" i="1"/>
  <c r="C20" i="1"/>
  <c r="L20" i="1"/>
  <c r="G20" i="1"/>
  <c r="K20" i="1"/>
  <c r="D20" i="1" a="1"/>
  <c r="M20" i="1"/>
  <c r="J20" i="1"/>
  <c r="E19" i="1" a="1"/>
  <c r="J19" i="1"/>
  <c r="F19" i="1"/>
  <c r="K19" i="1"/>
  <c r="L19" i="1"/>
  <c r="C19" i="1"/>
  <c r="M19" i="1"/>
  <c r="D19" i="1" a="1"/>
  <c r="I19" i="1" a="1"/>
  <c r="P19" i="1"/>
  <c r="N19" i="1"/>
  <c r="G19" i="1"/>
  <c r="O19" i="1"/>
  <c r="H19" i="1" a="1"/>
  <c r="J69" i="1" l="1"/>
  <c r="M69" i="1"/>
  <c r="K69" i="1"/>
  <c r="G69" i="1"/>
  <c r="L69" i="1"/>
  <c r="C69" i="1"/>
  <c r="O69" i="1"/>
  <c r="N69" i="1"/>
  <c r="P69" i="1"/>
  <c r="F69" i="1"/>
  <c r="I18" i="1"/>
  <c r="H18" i="1"/>
  <c r="D18" i="1"/>
  <c r="E18" i="1"/>
  <c r="I17" i="1"/>
  <c r="E17" i="1"/>
  <c r="D17" i="1"/>
  <c r="H17" i="1"/>
  <c r="H19" i="1"/>
  <c r="I19" i="1"/>
  <c r="D19" i="1"/>
  <c r="E19" i="1"/>
  <c r="D20" i="1"/>
  <c r="D69" i="1" s="1"/>
  <c r="I20" i="1"/>
  <c r="I69" i="1" s="1"/>
  <c r="E20" i="1"/>
  <c r="E69" i="1" s="1"/>
  <c r="H20" i="1"/>
  <c r="H69" i="1" s="1"/>
  <c r="A4" i="1"/>
  <c r="P4" i="1"/>
  <c r="M4" i="1"/>
  <c r="L4" i="1"/>
  <c r="H4" i="1" a="1"/>
  <c r="D4" i="1" a="1"/>
  <c r="C4" i="1"/>
  <c r="E4" i="1" a="1"/>
  <c r="N4" i="1"/>
  <c r="G4" i="1"/>
  <c r="I4" i="1" a="1"/>
  <c r="O4" i="1"/>
  <c r="J4" i="1"/>
  <c r="F4" i="1"/>
  <c r="K4" i="1"/>
  <c r="Y7" i="1"/>
  <c r="W7" i="1"/>
  <c r="Y24" i="1"/>
  <c r="R4" i="1"/>
  <c r="Z12" i="1"/>
  <c r="R10" i="1"/>
  <c r="W24" i="1"/>
  <c r="V8" i="1"/>
  <c r="S5" i="1"/>
  <c r="X10" i="1"/>
  <c r="S6" i="1"/>
  <c r="S10" i="1"/>
  <c r="T21" i="1"/>
  <c r="T3" i="1"/>
  <c r="S9" i="1"/>
  <c r="V7" i="1"/>
  <c r="T24" i="1"/>
  <c r="W11" i="1"/>
  <c r="X24" i="1"/>
  <c r="W10" i="1"/>
  <c r="Q24" i="1"/>
  <c r="Z25" i="1"/>
  <c r="T6" i="1"/>
  <c r="V22" i="1"/>
  <c r="U5" i="1"/>
  <c r="V21" i="1"/>
  <c r="Y18" i="1"/>
  <c r="Q16" i="1"/>
  <c r="V11" i="1"/>
  <c r="X21" i="1"/>
  <c r="V3" i="1"/>
  <c r="S17" i="1"/>
  <c r="R16" i="1"/>
  <c r="Y8" i="1"/>
  <c r="S12" i="1"/>
  <c r="R25" i="1"/>
  <c r="R3" i="1"/>
  <c r="T18" i="1"/>
  <c r="W16" i="1"/>
  <c r="R15" i="1"/>
  <c r="Y13" i="1"/>
  <c r="V16" i="1"/>
  <c r="R13" i="1"/>
  <c r="S25" i="1"/>
  <c r="Z21" i="1"/>
  <c r="T23" i="1"/>
  <c r="T12" i="1"/>
  <c r="X23" i="1"/>
  <c r="Y16" i="1"/>
  <c r="U14" i="1"/>
  <c r="T15" i="1"/>
  <c r="W14" i="1"/>
  <c r="X17" i="1"/>
  <c r="T14" i="1"/>
  <c r="Z15" i="1"/>
  <c r="S3" i="1"/>
  <c r="U13" i="1"/>
  <c r="X14" i="1"/>
  <c r="Z7" i="1"/>
  <c r="U12" i="1"/>
  <c r="T10" i="1"/>
  <c r="R6" i="1"/>
  <c r="Q10" i="1"/>
  <c r="Q11" i="1"/>
  <c r="V6" i="1"/>
  <c r="R12" i="1"/>
  <c r="U18" i="1"/>
  <c r="W23" i="1"/>
  <c r="R17" i="1"/>
  <c r="W3" i="1"/>
  <c r="U16" i="1"/>
  <c r="Z16" i="1"/>
  <c r="S8" i="1"/>
  <c r="Y17" i="1"/>
  <c r="Y14" i="1"/>
  <c r="Q4" i="1"/>
  <c r="X12" i="1"/>
  <c r="V12" i="1"/>
  <c r="Y11" i="1"/>
  <c r="U4" i="1"/>
  <c r="Z11" i="1"/>
  <c r="Y25" i="1"/>
  <c r="Y21" i="1"/>
  <c r="Q5" i="1"/>
  <c r="R9" i="1"/>
  <c r="X6" i="1"/>
  <c r="V9" i="1"/>
  <c r="Y5" i="1"/>
  <c r="V10" i="1"/>
  <c r="Y22" i="1"/>
  <c r="T5" i="1"/>
  <c r="Z8" i="1"/>
  <c r="Z5" i="1"/>
  <c r="Q21" i="1"/>
  <c r="R8" i="1"/>
  <c r="U24" i="1"/>
  <c r="W9" i="1"/>
  <c r="W4" i="1"/>
  <c r="T25" i="1"/>
  <c r="U3" i="1"/>
  <c r="R18" i="1"/>
  <c r="Z14" i="1"/>
  <c r="Q9" i="1"/>
  <c r="Q22" i="1"/>
  <c r="U7" i="1"/>
  <c r="V25" i="1"/>
  <c r="R22" i="1"/>
  <c r="Z17" i="1"/>
  <c r="Q15" i="1"/>
  <c r="V23" i="1"/>
  <c r="Z23" i="1"/>
  <c r="U15" i="1"/>
  <c r="U17" i="1"/>
  <c r="X15" i="1"/>
  <c r="X25" i="1"/>
  <c r="Y12" i="1"/>
  <c r="T16" i="1"/>
  <c r="V14" i="1"/>
  <c r="T7" i="1"/>
  <c r="V4" i="1"/>
  <c r="U9" i="1"/>
  <c r="Z9" i="1"/>
  <c r="W18" i="1"/>
  <c r="T4" i="1"/>
  <c r="S18" i="1"/>
  <c r="W12" i="1"/>
  <c r="V13" i="1"/>
  <c r="W8" i="1"/>
  <c r="R14" i="1"/>
  <c r="R5" i="1"/>
  <c r="S4" i="1"/>
  <c r="Q23" i="1"/>
  <c r="X9" i="1"/>
  <c r="T11" i="1"/>
  <c r="Q6" i="1"/>
  <c r="U21" i="1"/>
  <c r="X3" i="1"/>
  <c r="Y10" i="1"/>
  <c r="Z10" i="1"/>
  <c r="W21" i="1"/>
  <c r="R21" i="1"/>
  <c r="T8" i="1"/>
  <c r="Y4" i="1"/>
  <c r="X8" i="1"/>
  <c r="U11" i="1"/>
  <c r="S11" i="1"/>
  <c r="U6" i="1"/>
  <c r="X7" i="1"/>
  <c r="W25" i="1"/>
  <c r="X4" i="1"/>
  <c r="Q8" i="1"/>
  <c r="Y9" i="1"/>
  <c r="X22" i="1"/>
  <c r="Z3" i="1"/>
  <c r="W22" i="1"/>
  <c r="V18" i="1"/>
  <c r="Q14" i="1"/>
  <c r="S23" i="1"/>
  <c r="R7" i="1"/>
  <c r="Z24" i="1"/>
  <c r="U25" i="1"/>
  <c r="X18" i="1"/>
  <c r="V17" i="1"/>
  <c r="Z22" i="1"/>
  <c r="T22" i="1"/>
  <c r="Y3" i="1"/>
  <c r="S16" i="1"/>
  <c r="W15" i="1"/>
  <c r="X13" i="1"/>
  <c r="T17" i="1"/>
  <c r="Y15" i="1"/>
  <c r="S14" i="1"/>
  <c r="W6" i="1"/>
  <c r="V24" i="1"/>
  <c r="U22" i="1"/>
  <c r="S24" i="1"/>
  <c r="W17" i="1"/>
  <c r="X16" i="1"/>
  <c r="W13" i="1"/>
  <c r="V15" i="1"/>
  <c r="Z13" i="1"/>
  <c r="V5" i="1"/>
  <c r="R11" i="1"/>
  <c r="X5" i="1"/>
  <c r="Q12" i="1"/>
  <c r="U23" i="1"/>
  <c r="Y6" i="1"/>
  <c r="U10" i="1"/>
  <c r="Z4" i="1"/>
  <c r="T9" i="1"/>
  <c r="Z6" i="1"/>
  <c r="X11" i="1"/>
  <c r="S21" i="1"/>
  <c r="U8" i="1"/>
  <c r="R23" i="1"/>
  <c r="R24" i="1"/>
  <c r="W5" i="1"/>
  <c r="Q25" i="1"/>
  <c r="S13" i="1"/>
  <c r="S22" i="1"/>
  <c r="S7" i="1"/>
  <c r="Q7" i="1"/>
  <c r="Z18" i="1"/>
  <c r="S15" i="1"/>
  <c r="Q13" i="1"/>
  <c r="T13" i="1"/>
  <c r="P29" i="1"/>
  <c r="E36" i="1" a="1"/>
  <c r="M32" i="1"/>
  <c r="C31" i="1"/>
  <c r="N39" i="1"/>
  <c r="E37" i="1" a="1"/>
  <c r="D38" i="1" a="1"/>
  <c r="H37" i="1" a="1"/>
  <c r="U19" i="1"/>
  <c r="K30" i="1"/>
  <c r="B23" i="1"/>
  <c r="B10" i="1"/>
  <c r="S19" i="1"/>
  <c r="D33" i="1" a="1"/>
  <c r="P38" i="1"/>
  <c r="F35" i="1"/>
  <c r="B31" i="1"/>
  <c r="P30" i="1"/>
  <c r="K37" i="1"/>
  <c r="B36" i="1"/>
  <c r="L28" i="1"/>
  <c r="O35" i="1"/>
  <c r="O36" i="1"/>
  <c r="G28" i="1"/>
  <c r="N32" i="1"/>
  <c r="E29" i="1" a="1"/>
  <c r="J31" i="1"/>
  <c r="M34" i="1"/>
  <c r="E35" i="1" a="1"/>
  <c r="G31" i="1"/>
  <c r="B18" i="1"/>
  <c r="H31" i="1" a="1"/>
  <c r="O29" i="1"/>
  <c r="B17" i="1"/>
  <c r="J36" i="1"/>
  <c r="F30" i="1"/>
  <c r="G32" i="1"/>
  <c r="J28" i="1"/>
  <c r="B35" i="1"/>
  <c r="E28" i="1" a="1"/>
  <c r="J29" i="1"/>
  <c r="P39" i="1"/>
  <c r="O33" i="1"/>
  <c r="C29" i="1"/>
  <c r="N29" i="1"/>
  <c r="N35" i="1"/>
  <c r="I34" i="1" a="1"/>
  <c r="B11" i="1"/>
  <c r="B24" i="1"/>
  <c r="E34" i="1" a="1"/>
  <c r="B25" i="1"/>
  <c r="P34" i="1"/>
  <c r="I35" i="1" a="1"/>
  <c r="L33" i="1"/>
  <c r="H32" i="1" a="1"/>
  <c r="E31" i="1" a="1"/>
  <c r="H33" i="1" a="1"/>
  <c r="F37" i="1"/>
  <c r="O39" i="1"/>
  <c r="J33" i="1"/>
  <c r="H34" i="1" a="1"/>
  <c r="D29" i="1" a="1"/>
  <c r="H39" i="1" a="1"/>
  <c r="V19" i="1"/>
  <c r="H30" i="1" a="1"/>
  <c r="E32" i="1" a="1"/>
  <c r="M37" i="1"/>
  <c r="P31" i="1"/>
  <c r="D28" i="1" a="1"/>
  <c r="H38" i="1" a="1"/>
  <c r="K35" i="1"/>
  <c r="F28" i="1"/>
  <c r="B15" i="1"/>
  <c r="B32" i="1"/>
  <c r="J37" i="1"/>
  <c r="C39" i="1"/>
  <c r="D34" i="1" a="1"/>
  <c r="E30" i="1" a="1"/>
  <c r="I31" i="1" a="1"/>
  <c r="M36" i="1"/>
  <c r="J34" i="1"/>
  <c r="B9" i="1"/>
  <c r="O32" i="1"/>
  <c r="L39" i="1"/>
  <c r="L36" i="1"/>
  <c r="B14" i="1"/>
  <c r="K38" i="1"/>
  <c r="N33" i="1"/>
  <c r="B30" i="1"/>
  <c r="G38" i="1"/>
  <c r="G35" i="1"/>
  <c r="B13" i="1"/>
  <c r="G34" i="1"/>
  <c r="J38" i="1"/>
  <c r="I33" i="1" a="1"/>
  <c r="I36" i="1" a="1"/>
  <c r="B34" i="1"/>
  <c r="H35" i="1" a="1"/>
  <c r="M35" i="1"/>
  <c r="M30" i="1"/>
  <c r="K33" i="1"/>
  <c r="P37" i="1"/>
  <c r="L32" i="1"/>
  <c r="N36" i="1"/>
  <c r="B16" i="1"/>
  <c r="B21" i="1"/>
  <c r="B8" i="1"/>
  <c r="L37" i="1"/>
  <c r="H36" i="1" a="1"/>
  <c r="B7" i="1"/>
  <c r="I29" i="1" a="1"/>
  <c r="G33" i="1"/>
  <c r="D36" i="1" a="1"/>
  <c r="H28" i="1" a="1"/>
  <c r="C32" i="1"/>
  <c r="E38" i="1" a="1"/>
  <c r="B4" i="1"/>
  <c r="J35" i="1"/>
  <c r="C38" i="1"/>
  <c r="M29" i="1"/>
  <c r="P36" i="1"/>
  <c r="J30" i="1"/>
  <c r="B19" i="1"/>
  <c r="R19" i="1"/>
  <c r="P33" i="1"/>
  <c r="Q19" i="1"/>
  <c r="D37" i="1" a="1"/>
  <c r="K39" i="1"/>
  <c r="F32" i="1"/>
  <c r="B3" i="1"/>
  <c r="N31" i="1"/>
  <c r="I30" i="1" a="1"/>
  <c r="F29" i="1"/>
  <c r="B29" i="1"/>
  <c r="N30" i="1"/>
  <c r="M31" i="1"/>
  <c r="B5" i="1"/>
  <c r="E33" i="1" a="1"/>
  <c r="M39" i="1"/>
  <c r="K34" i="1"/>
  <c r="F36" i="1"/>
  <c r="P32" i="1"/>
  <c r="C36" i="1"/>
  <c r="D32" i="1" a="1"/>
  <c r="I37" i="1" a="1"/>
  <c r="N28" i="1"/>
  <c r="O34" i="1"/>
  <c r="I28" i="1" a="1"/>
  <c r="N38" i="1"/>
  <c r="O37" i="1"/>
  <c r="L29" i="1"/>
  <c r="M33" i="1"/>
  <c r="F34" i="1"/>
  <c r="O30" i="1"/>
  <c r="G29" i="1"/>
  <c r="B6" i="1"/>
  <c r="L34" i="1"/>
  <c r="G39" i="1"/>
  <c r="G30" i="1"/>
  <c r="M28" i="1"/>
  <c r="G36" i="1"/>
  <c r="J32" i="1"/>
  <c r="B22" i="1"/>
  <c r="B12" i="1"/>
  <c r="C28" i="1"/>
  <c r="M38" i="1"/>
  <c r="Z19" i="1"/>
  <c r="K28" i="1"/>
  <c r="F39" i="1"/>
  <c r="C34" i="1"/>
  <c r="Y19" i="1"/>
  <c r="J39" i="1"/>
  <c r="I32" i="1" a="1"/>
  <c r="W19" i="1"/>
  <c r="B39" i="1"/>
  <c r="C33" i="1"/>
  <c r="N34" i="1"/>
  <c r="E39" i="1" a="1"/>
  <c r="N37" i="1"/>
  <c r="T19" i="1"/>
  <c r="D39" i="1" a="1"/>
  <c r="G37" i="1"/>
  <c r="K32" i="1"/>
  <c r="P28" i="1"/>
  <c r="B37" i="1"/>
  <c r="B28" i="1"/>
  <c r="F33" i="1"/>
  <c r="O38" i="1"/>
  <c r="D30" i="1" a="1"/>
  <c r="B33" i="1"/>
  <c r="K29" i="1"/>
  <c r="P35" i="1"/>
  <c r="O31" i="1"/>
  <c r="L30" i="1"/>
  <c r="B38" i="1"/>
  <c r="K31" i="1"/>
  <c r="O28" i="1"/>
  <c r="F31" i="1"/>
  <c r="C30" i="1"/>
  <c r="I39" i="1" a="1"/>
  <c r="L31" i="1"/>
  <c r="I38" i="1" a="1"/>
  <c r="C37" i="1"/>
  <c r="K36" i="1"/>
  <c r="F38" i="1"/>
  <c r="C35" i="1"/>
  <c r="L35" i="1"/>
  <c r="H29" i="1" a="1"/>
  <c r="L38" i="1"/>
  <c r="X19" i="1"/>
  <c r="D31" i="1" a="1"/>
  <c r="D35" i="1" a="1"/>
  <c r="U20" i="1"/>
  <c r="Z20" i="1"/>
  <c r="W20" i="1"/>
  <c r="B20" i="1"/>
  <c r="Y20" i="1"/>
  <c r="V20" i="1"/>
  <c r="R20" i="1"/>
  <c r="S20" i="1"/>
  <c r="Q20" i="1"/>
  <c r="T20" i="1"/>
  <c r="X20" i="1"/>
  <c r="B69" i="1" l="1"/>
  <c r="I4" i="1"/>
  <c r="E4" i="1"/>
  <c r="D4" i="1"/>
  <c r="H4" i="1"/>
  <c r="H38" i="1"/>
  <c r="E38" i="1"/>
  <c r="I36" i="1"/>
  <c r="D36" i="1"/>
  <c r="H34" i="1"/>
  <c r="E34" i="1"/>
  <c r="I32" i="1"/>
  <c r="D32" i="1"/>
  <c r="H30" i="1"/>
  <c r="E30" i="1"/>
  <c r="I28" i="1"/>
  <c r="D28" i="1"/>
  <c r="I39" i="1"/>
  <c r="D39" i="1"/>
  <c r="H37" i="1"/>
  <c r="E37" i="1"/>
  <c r="I35" i="1"/>
  <c r="D35" i="1"/>
  <c r="H33" i="1"/>
  <c r="E33" i="1"/>
  <c r="I31" i="1"/>
  <c r="D31" i="1"/>
  <c r="H29" i="1"/>
  <c r="E29" i="1"/>
  <c r="I38" i="1"/>
  <c r="D38" i="1"/>
  <c r="H36" i="1"/>
  <c r="E36" i="1"/>
  <c r="I34" i="1"/>
  <c r="D34" i="1"/>
  <c r="H32" i="1"/>
  <c r="E32" i="1"/>
  <c r="I30" i="1"/>
  <c r="D30" i="1"/>
  <c r="H28" i="1"/>
  <c r="E28" i="1"/>
  <c r="H39" i="1"/>
  <c r="E39" i="1"/>
  <c r="I37" i="1"/>
  <c r="D37" i="1"/>
  <c r="H35" i="1"/>
  <c r="E35" i="1"/>
  <c r="I33" i="1"/>
  <c r="D33" i="1"/>
  <c r="H31" i="1"/>
  <c r="E31" i="1"/>
  <c r="I29" i="1"/>
  <c r="D29" i="1"/>
</calcChain>
</file>

<file path=xl/sharedStrings.xml><?xml version="1.0" encoding="utf-8"?>
<sst xmlns="http://schemas.openxmlformats.org/spreadsheetml/2006/main" count="29" uniqueCount="24">
  <si>
    <t>String</t>
  </si>
  <si>
    <t>Object[,]</t>
  </si>
  <si>
    <t>Object[]</t>
  </si>
  <si>
    <t>Object</t>
  </si>
  <si>
    <t>Double</t>
  </si>
  <si>
    <t>Double[]</t>
  </si>
  <si>
    <t>Double[,]</t>
  </si>
  <si>
    <t>Int16</t>
  </si>
  <si>
    <t>UInt16</t>
  </si>
  <si>
    <t>Int32</t>
  </si>
  <si>
    <t>Int64</t>
  </si>
  <si>
    <t>Decimal</t>
  </si>
  <si>
    <t>DateTime</t>
  </si>
  <si>
    <t>Bool</t>
  </si>
  <si>
    <t>Describe</t>
  </si>
  <si>
    <t>Variant</t>
  </si>
  <si>
    <t>Single</t>
  </si>
  <si>
    <t>Integer</t>
  </si>
  <si>
    <t>Long</t>
  </si>
  <si>
    <t>Currency</t>
  </si>
  <si>
    <t>Date</t>
  </si>
  <si>
    <t>Boolean</t>
  </si>
  <si>
    <t>33 Sept 2013</t>
  </si>
  <si>
    <t>1.23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</si>
</sst>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5" xfId="0" applyBorder="1"/>
    <xf numFmtId="0" fontId="0" fillId="0" borderId="4" xfId="0" applyBorder="1"/>
    <xf numFmtId="15" fontId="0" fillId="0" borderId="1" xfId="0" applyNumberFormat="1" applyBorder="1"/>
    <xf numFmtId="20" fontId="0" fillId="0" borderId="1" xfId="0" applyNumberFormat="1" applyBorder="1"/>
    <xf numFmtId="11" fontId="0" fillId="0" borderId="1" xfId="0" applyNumberFormat="1" applyBorder="1"/>
    <xf numFmtId="164" fontId="0" fillId="0" borderId="1" xfId="0" quotePrefix="1" applyNumberFormat="1" applyBorder="1"/>
    <xf numFmtId="0" fontId="1" fillId="2" borderId="1" xfId="1" applyBorder="1"/>
    <xf numFmtId="0" fontId="1" fillId="2" borderId="0" xfId="1"/>
    <xf numFmtId="0" fontId="2" fillId="3" borderId="0" xfId="2"/>
  </cellXfs>
  <cellStyles count="3">
    <cellStyle name="Bad" xfId="2" builtinId="27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80"/>
  <sheetViews>
    <sheetView tabSelected="1" workbookViewId="0">
      <selection activeCell="A29" sqref="A29"/>
    </sheetView>
  </sheetViews>
  <sheetFormatPr defaultRowHeight="15" x14ac:dyDescent="0.25"/>
  <cols>
    <col min="1" max="1" width="9.7109375" style="1" bestFit="1" customWidth="1"/>
    <col min="2" max="2" width="13.28515625" customWidth="1"/>
    <col min="3" max="3" width="9.28515625" customWidth="1"/>
    <col min="4" max="4" width="8.28515625" bestFit="1" customWidth="1"/>
    <col min="5" max="5" width="8.85546875" bestFit="1" customWidth="1"/>
    <col min="6" max="6" width="8.7109375" customWidth="1"/>
    <col min="7" max="7" width="8.42578125" bestFit="1" customWidth="1"/>
    <col min="8" max="8" width="9" bestFit="1" customWidth="1"/>
    <col min="9" max="9" width="9.5703125" bestFit="1" customWidth="1"/>
    <col min="10" max="10" width="12" customWidth="1"/>
    <col min="11" max="11" width="11.5703125" customWidth="1"/>
    <col min="12" max="12" width="8.7109375" customWidth="1"/>
    <col min="13" max="13" width="8.5703125" customWidth="1"/>
    <col min="14" max="14" width="8.42578125" bestFit="1" customWidth="1"/>
    <col min="15" max="15" width="9.7109375" bestFit="1" customWidth="1"/>
    <col min="16" max="16" width="8.28515625" style="1" customWidth="1"/>
    <col min="17" max="17" width="13.85546875" customWidth="1"/>
    <col min="18" max="18" width="9.28515625" bestFit="1" customWidth="1"/>
    <col min="19" max="19" width="8.5703125" customWidth="1"/>
  </cols>
  <sheetData>
    <row r="1" spans="1:26" s="3" customFormat="1" x14ac:dyDescent="0.25">
      <c r="A1" s="2"/>
      <c r="P1" s="2"/>
    </row>
    <row r="2" spans="1:26" s="5" customFormat="1" ht="15.75" thickBot="1" x14ac:dyDescent="0.3">
      <c r="A2" s="4"/>
      <c r="B2" s="5" t="s">
        <v>14</v>
      </c>
      <c r="C2" s="5" t="s">
        <v>3</v>
      </c>
      <c r="D2" s="5" t="s">
        <v>2</v>
      </c>
      <c r="E2" s="5" t="s">
        <v>1</v>
      </c>
      <c r="F2" s="5" t="s">
        <v>0</v>
      </c>
      <c r="G2" s="5" t="s">
        <v>4</v>
      </c>
      <c r="H2" s="5" t="s">
        <v>5</v>
      </c>
      <c r="I2" s="5" t="s">
        <v>6</v>
      </c>
      <c r="J2" s="5" t="s">
        <v>7</v>
      </c>
      <c r="K2" s="5" t="s">
        <v>8</v>
      </c>
      <c r="L2" s="5" t="s">
        <v>9</v>
      </c>
      <c r="M2" s="5" t="s">
        <v>10</v>
      </c>
      <c r="N2" s="5" t="s">
        <v>11</v>
      </c>
      <c r="O2" s="5" t="s">
        <v>12</v>
      </c>
      <c r="P2" s="4" t="s">
        <v>13</v>
      </c>
      <c r="Q2" s="5" t="s">
        <v>14</v>
      </c>
      <c r="R2" s="5" t="s">
        <v>15</v>
      </c>
      <c r="S2" s="5" t="s">
        <v>0</v>
      </c>
      <c r="T2" s="5" t="s">
        <v>4</v>
      </c>
      <c r="U2" s="5" t="s">
        <v>16</v>
      </c>
      <c r="V2" s="5" t="s">
        <v>17</v>
      </c>
      <c r="W2" s="5" t="s">
        <v>18</v>
      </c>
      <c r="X2" s="5" t="s">
        <v>19</v>
      </c>
      <c r="Y2" s="5" t="s">
        <v>20</v>
      </c>
      <c r="Z2" s="5" t="s">
        <v>21</v>
      </c>
    </row>
    <row r="3" spans="1:26" x14ac:dyDescent="0.25">
      <c r="B3" t="str">
        <f>_xll.dnaDescribe(A3)</f>
        <v>&lt;&lt;Empty&gt;&gt;</v>
      </c>
      <c r="C3">
        <f>_xll.dnaDirectObject(A3)</f>
        <v>0</v>
      </c>
      <c r="D3">
        <f t="array" ref="D3">_xll.dnaDirectObject1D(A3)</f>
        <v>0</v>
      </c>
      <c r="E3">
        <f t="array" ref="E3">_xll.dnaDirectObject2D(A3)</f>
        <v>0</v>
      </c>
      <c r="F3" t="str">
        <f>_xll.dnaConvertToString(A3)</f>
        <v/>
      </c>
      <c r="G3">
        <f>_xll.dnaConvertToDouble(A3)</f>
        <v>0</v>
      </c>
      <c r="H3">
        <f t="array" ref="H3">_xll.dnaDirectDouble1D(A3)</f>
        <v>0</v>
      </c>
      <c r="I3">
        <f t="array" ref="I3">_xll.dnaDirectDouble2D(A3)</f>
        <v>0</v>
      </c>
      <c r="J3">
        <f>_xll.dnaConvertToInt16(A3)</f>
        <v>0</v>
      </c>
      <c r="K3">
        <f>_xll.dnaConvertToUInt16(A3)</f>
        <v>0</v>
      </c>
      <c r="L3">
        <f>_xll.dnaConvertToInt32(A3)</f>
        <v>0</v>
      </c>
      <c r="M3">
        <f>_xll.dnaConvertToInt64(A3)</f>
        <v>0</v>
      </c>
      <c r="N3">
        <f>_xll.dnaConvertToDecimal(A3)</f>
        <v>0</v>
      </c>
      <c r="O3">
        <f>_xll.dnaConvertToDateTime(A3)</f>
        <v>0</v>
      </c>
      <c r="P3" s="1" t="b">
        <f>_xll.dnaConvertToBoolean(A3)</f>
        <v>0</v>
      </c>
      <c r="Q3" t="str">
        <f>vbaDescribe(A3)</f>
        <v>&lt;&lt;Empty&gt;&gt;</v>
      </c>
      <c r="R3">
        <f>vbaDirectVariant(A3)</f>
        <v>0</v>
      </c>
      <c r="S3" t="str">
        <f>vbaDirectString(A3)</f>
        <v/>
      </c>
      <c r="T3">
        <f>vbaDirectDouble(A3)</f>
        <v>0</v>
      </c>
      <c r="U3">
        <f>vbaDirectSingle(A3)</f>
        <v>0</v>
      </c>
      <c r="V3">
        <f>vbaDirectInteger(A3)</f>
        <v>0</v>
      </c>
      <c r="W3">
        <f>vbaDirectLong(A3)</f>
        <v>0</v>
      </c>
      <c r="X3">
        <f>vbaDirectCurrency(A3)</f>
        <v>0</v>
      </c>
      <c r="Y3">
        <f>vbaDirectDate(A3)</f>
        <v>0</v>
      </c>
      <c r="Z3" t="b">
        <f>vbaDirectBoolean(A3)</f>
        <v>0</v>
      </c>
    </row>
    <row r="4" spans="1:26" x14ac:dyDescent="0.25">
      <c r="A4" s="1" t="e">
        <f>1/0</f>
        <v>#DIV/0!</v>
      </c>
      <c r="B4" t="str">
        <f>_xll.dnaDescribe(A4)</f>
        <v>ExcelError: ExcelErrorDiv0</v>
      </c>
      <c r="C4" t="e">
        <f>_xll.dnaDirectObject(A4)</f>
        <v>#DIV/0!</v>
      </c>
      <c r="D4" t="e">
        <f t="array" ref="D4">_xll.dnaDirectObject1D(A4)</f>
        <v>#DIV/0!</v>
      </c>
      <c r="E4" t="e">
        <f t="array" ref="E4">_xll.dnaDirectObject2D(A4)</f>
        <v>#DIV/0!</v>
      </c>
      <c r="F4" t="e">
        <f>_xll.dnaConvertToString(A4)</f>
        <v>#VALUE!</v>
      </c>
      <c r="G4" t="e">
        <f>_xll.dnaConvertToDouble(A4)</f>
        <v>#VALUE!</v>
      </c>
      <c r="H4" t="e">
        <f t="array" ref="H4">_xll.dnaDirectDouble1D(A4)</f>
        <v>#VALUE!</v>
      </c>
      <c r="I4" t="e">
        <f t="array" ref="I4">_xll.dnaDirectDouble2D(A4)</f>
        <v>#VALUE!</v>
      </c>
      <c r="J4" t="e">
        <f>_xll.dnaConvertToInt16(A4)</f>
        <v>#VALUE!</v>
      </c>
      <c r="K4" t="e">
        <f>_xll.dnaConvertToUInt16(A4)</f>
        <v>#VALUE!</v>
      </c>
      <c r="L4" t="e">
        <f>_xll.dnaConvertToInt32(A4)</f>
        <v>#VALUE!</v>
      </c>
      <c r="M4" t="e">
        <f>_xll.dnaConvertToInt64(A4)</f>
        <v>#VALUE!</v>
      </c>
      <c r="N4" t="e">
        <f>_xll.dnaConvertToDecimal(A4)</f>
        <v>#VALUE!</v>
      </c>
      <c r="O4" t="e">
        <f>_xll.dnaConvertToDateTime(A4)</f>
        <v>#VALUE!</v>
      </c>
      <c r="P4" s="1" t="e">
        <f>_xll.dnaConvertToBoolean(A4)</f>
        <v>#VALUE!</v>
      </c>
      <c r="Q4" t="str">
        <f>vbaDescribe(A4)</f>
        <v>&lt;&lt;Error&gt;&gt;: 2007</v>
      </c>
      <c r="R4" t="e">
        <f t="shared" ref="R4:R25" si="0">vbaDirectVariant(A4)</f>
        <v>#DIV/0!</v>
      </c>
      <c r="S4" t="e">
        <f t="shared" ref="S4:S25" si="1">vbaDirectString(A4)</f>
        <v>#VALUE!</v>
      </c>
      <c r="T4" t="e">
        <f t="shared" ref="T4:T25" si="2">vbaDirectDouble(A4)</f>
        <v>#VALUE!</v>
      </c>
      <c r="U4" t="e">
        <f t="shared" ref="U4:U25" si="3">vbaDirectSingle(A4)</f>
        <v>#VALUE!</v>
      </c>
      <c r="V4" t="e">
        <f t="shared" ref="V4:V25" si="4">vbaDirectInteger(A4)</f>
        <v>#VALUE!</v>
      </c>
      <c r="W4" t="e">
        <f t="shared" ref="W4:W25" si="5">vbaDirectLong(A4)</f>
        <v>#VALUE!</v>
      </c>
      <c r="X4" t="e">
        <f t="shared" ref="X4:X25" si="6">vbaDirectCurrency(A4)</f>
        <v>#VALUE!</v>
      </c>
      <c r="Y4" t="e">
        <f t="shared" ref="Y4:Y25" si="7">vbaDirectDate(A4)</f>
        <v>#VALUE!</v>
      </c>
      <c r="Z4" t="e">
        <f t="shared" ref="Z4:Z25" si="8">vbaDirectBoolean(A4)</f>
        <v>#VALUE!</v>
      </c>
    </row>
    <row r="5" spans="1:26" x14ac:dyDescent="0.25">
      <c r="A5" s="1">
        <v>0</v>
      </c>
      <c r="B5" t="str">
        <f>_xll.dnaDescribe(A5)</f>
        <v>Double: 0</v>
      </c>
      <c r="C5">
        <f>_xll.dnaDirectObject(A5)</f>
        <v>0</v>
      </c>
      <c r="D5">
        <f t="array" ref="D5">_xll.dnaDirectObject1D(A5)</f>
        <v>0</v>
      </c>
      <c r="E5">
        <f t="array" ref="E5">_xll.dnaDirectObject2D(A5)</f>
        <v>0</v>
      </c>
      <c r="F5" t="str">
        <f>_xll.dnaConvertToString(A5)</f>
        <v>0</v>
      </c>
      <c r="G5">
        <f>_xll.dnaConvertToDouble(A5)</f>
        <v>0</v>
      </c>
      <c r="H5">
        <f t="array" ref="H5">_xll.dnaDirectDouble1D(A5)</f>
        <v>0</v>
      </c>
      <c r="I5">
        <f t="array" ref="I5">_xll.dnaDirectDouble2D(A5)</f>
        <v>0</v>
      </c>
      <c r="J5">
        <f>_xll.dnaConvertToInt16(A5)</f>
        <v>0</v>
      </c>
      <c r="K5">
        <f>_xll.dnaConvertToUInt16(A5)</f>
        <v>0</v>
      </c>
      <c r="L5">
        <f>_xll.dnaConvertToInt32(A5)</f>
        <v>0</v>
      </c>
      <c r="M5">
        <f>_xll.dnaConvertToInt64(A5)</f>
        <v>0</v>
      </c>
      <c r="N5">
        <f>_xll.dnaConvertToDecimal(A5)</f>
        <v>0</v>
      </c>
      <c r="O5">
        <f>_xll.dnaConvertToDateTime(A5)</f>
        <v>0</v>
      </c>
      <c r="P5" t="b">
        <f>_xll.dnaConvertToBoolean(A5)</f>
        <v>0</v>
      </c>
      <c r="Q5" t="str">
        <f t="shared" ref="Q5:Q6" si="9">vbaDescribe(A5)</f>
        <v>Double: 0</v>
      </c>
      <c r="R5">
        <f t="shared" ref="R5:R6" si="10">vbaDirectVariant(A5)</f>
        <v>0</v>
      </c>
      <c r="S5" t="str">
        <f t="shared" ref="S5:S6" si="11">vbaDirectString(A5)</f>
        <v>0</v>
      </c>
      <c r="T5">
        <f t="shared" ref="T5:T6" si="12">vbaDirectDouble(A5)</f>
        <v>0</v>
      </c>
      <c r="U5">
        <f t="shared" ref="U5:U6" si="13">vbaDirectSingle(A5)</f>
        <v>0</v>
      </c>
      <c r="V5">
        <f t="shared" ref="V5:V6" si="14">vbaDirectInteger(A5)</f>
        <v>0</v>
      </c>
      <c r="W5">
        <f t="shared" ref="W5:W6" si="15">vbaDirectLong(A5)</f>
        <v>0</v>
      </c>
      <c r="X5">
        <f t="shared" ref="X5:X6" si="16">vbaDirectCurrency(A5)</f>
        <v>0</v>
      </c>
      <c r="Y5">
        <f t="shared" ref="Y5:Y6" si="17">vbaDirectDate(A5)</f>
        <v>0</v>
      </c>
      <c r="Z5" t="b">
        <f t="shared" ref="Z5:Z6" si="18">vbaDirectBoolean(A5)</f>
        <v>0</v>
      </c>
    </row>
    <row r="6" spans="1:26" x14ac:dyDescent="0.25">
      <c r="A6" s="1">
        <v>1</v>
      </c>
      <c r="B6" t="str">
        <f>_xll.dnaDescribe(A6)</f>
        <v>Double: 1</v>
      </c>
      <c r="C6">
        <f>_xll.dnaDirectObject(A6)</f>
        <v>1</v>
      </c>
      <c r="D6">
        <f t="array" ref="D6">_xll.dnaDirectObject1D(A6)</f>
        <v>1</v>
      </c>
      <c r="E6">
        <f t="array" ref="E6">_xll.dnaDirectObject2D(A6)</f>
        <v>1</v>
      </c>
      <c r="F6" t="str">
        <f>_xll.dnaConvertToString(A6)</f>
        <v>1</v>
      </c>
      <c r="G6">
        <f>_xll.dnaConvertToDouble(A6)</f>
        <v>1</v>
      </c>
      <c r="H6">
        <f t="array" ref="H6">_xll.dnaDirectDouble1D(A6)</f>
        <v>1</v>
      </c>
      <c r="I6">
        <f t="array" ref="I6">_xll.dnaDirectDouble2D(A6)</f>
        <v>1</v>
      </c>
      <c r="J6">
        <f>_xll.dnaConvertToInt16(A6)</f>
        <v>1</v>
      </c>
      <c r="K6">
        <f>_xll.dnaConvertToUInt16(A6)</f>
        <v>1</v>
      </c>
      <c r="L6">
        <f>_xll.dnaConvertToInt32(A6)</f>
        <v>1</v>
      </c>
      <c r="M6">
        <f>_xll.dnaConvertToInt64(A6)</f>
        <v>1</v>
      </c>
      <c r="N6">
        <f>_xll.dnaConvertToDecimal(A6)</f>
        <v>1</v>
      </c>
      <c r="O6">
        <f>_xll.dnaConvertToDateTime(A6)</f>
        <v>1</v>
      </c>
      <c r="P6" t="b">
        <f>_xll.dnaConvertToBoolean(A6)</f>
        <v>1</v>
      </c>
      <c r="Q6" t="str">
        <f t="shared" si="9"/>
        <v>Double: 1</v>
      </c>
      <c r="R6">
        <f t="shared" si="10"/>
        <v>1</v>
      </c>
      <c r="S6" t="str">
        <f t="shared" si="11"/>
        <v>1</v>
      </c>
      <c r="T6">
        <f t="shared" si="12"/>
        <v>1</v>
      </c>
      <c r="U6">
        <f t="shared" si="13"/>
        <v>1</v>
      </c>
      <c r="V6">
        <f t="shared" si="14"/>
        <v>1</v>
      </c>
      <c r="W6">
        <f t="shared" si="15"/>
        <v>1</v>
      </c>
      <c r="X6">
        <f t="shared" si="16"/>
        <v>1</v>
      </c>
      <c r="Y6">
        <f t="shared" si="17"/>
        <v>1</v>
      </c>
      <c r="Z6" t="b">
        <f t="shared" si="18"/>
        <v>1</v>
      </c>
    </row>
    <row r="7" spans="1:26" x14ac:dyDescent="0.25">
      <c r="A7" s="1">
        <v>0.1</v>
      </c>
      <c r="B7" t="str">
        <f>_xll.dnaDescribe(A7)</f>
        <v>Double: 0.1</v>
      </c>
      <c r="C7">
        <f>_xll.dnaDirectObject(A7)</f>
        <v>0.1</v>
      </c>
      <c r="D7">
        <f t="array" ref="D7">_xll.dnaDirectObject1D(A7)</f>
        <v>0.1</v>
      </c>
      <c r="E7">
        <f t="array" ref="E7">_xll.dnaDirectObject2D(A7)</f>
        <v>0.1</v>
      </c>
      <c r="F7" t="str">
        <f>_xll.dnaConvertToString(A7)</f>
        <v>0.1</v>
      </c>
      <c r="G7">
        <f>_xll.dnaConvertToDouble(A7)</f>
        <v>0.1</v>
      </c>
      <c r="H7">
        <f t="array" ref="H7">_xll.dnaDirectDouble1D(A7)</f>
        <v>0.1</v>
      </c>
      <c r="I7">
        <f t="array" ref="I7">_xll.dnaDirectDouble2D(A7)</f>
        <v>0.1</v>
      </c>
      <c r="J7">
        <f>_xll.dnaConvertToInt16(A7)</f>
        <v>0</v>
      </c>
      <c r="K7">
        <f>_xll.dnaConvertToUInt16(A7)</f>
        <v>0</v>
      </c>
      <c r="L7">
        <f>_xll.dnaConvertToInt32(A7)</f>
        <v>0</v>
      </c>
      <c r="M7">
        <f>_xll.dnaConvertToInt64(A7)</f>
        <v>0</v>
      </c>
      <c r="N7">
        <f>_xll.dnaConvertToDecimal(A7)</f>
        <v>0.1</v>
      </c>
      <c r="O7">
        <f>_xll.dnaConvertToDateTime(A7)</f>
        <v>0.1</v>
      </c>
      <c r="P7" t="b">
        <f>_xll.dnaConvertToBoolean(A7)</f>
        <v>1</v>
      </c>
      <c r="Q7" t="str">
        <f t="shared" ref="Q7:Q25" si="19">vbaDescribe(A7)</f>
        <v>Double: 0.1</v>
      </c>
      <c r="R7">
        <f t="shared" si="0"/>
        <v>0.1</v>
      </c>
      <c r="S7" t="str">
        <f t="shared" si="1"/>
        <v>0.1</v>
      </c>
      <c r="T7">
        <f t="shared" si="2"/>
        <v>0.1</v>
      </c>
      <c r="U7">
        <f t="shared" si="3"/>
        <v>0.10000000149011612</v>
      </c>
      <c r="V7">
        <f t="shared" si="4"/>
        <v>0</v>
      </c>
      <c r="W7">
        <f t="shared" si="5"/>
        <v>0</v>
      </c>
      <c r="X7">
        <f t="shared" si="6"/>
        <v>0.1</v>
      </c>
      <c r="Y7">
        <f t="shared" si="7"/>
        <v>0.1</v>
      </c>
      <c r="Z7" t="b">
        <f t="shared" si="8"/>
        <v>1</v>
      </c>
    </row>
    <row r="8" spans="1:26" x14ac:dyDescent="0.25">
      <c r="A8" s="1">
        <v>1.5</v>
      </c>
      <c r="B8" t="str">
        <f>_xll.dnaDescribe(A8)</f>
        <v>Double: 1.5</v>
      </c>
      <c r="C8">
        <f>_xll.dnaDirectObject(A8)</f>
        <v>1.5</v>
      </c>
      <c r="D8">
        <f t="array" ref="D8">_xll.dnaDirectObject1D(A8)</f>
        <v>1.5</v>
      </c>
      <c r="E8">
        <f t="array" ref="E8">_xll.dnaDirectObject2D(A8)</f>
        <v>1.5</v>
      </c>
      <c r="F8" t="str">
        <f>_xll.dnaConvertToString(A8)</f>
        <v>1.5</v>
      </c>
      <c r="G8">
        <f>_xll.dnaConvertToDouble(A8)</f>
        <v>1.5</v>
      </c>
      <c r="H8">
        <f t="array" ref="H8">_xll.dnaDirectDouble1D(A8)</f>
        <v>1.5</v>
      </c>
      <c r="I8">
        <f t="array" ref="I8">_xll.dnaDirectDouble2D(A8)</f>
        <v>1.5</v>
      </c>
      <c r="J8">
        <f>_xll.dnaConvertToInt16(A8)</f>
        <v>2</v>
      </c>
      <c r="K8">
        <f>_xll.dnaConvertToUInt16(A8)</f>
        <v>2</v>
      </c>
      <c r="L8">
        <f>_xll.dnaConvertToInt32(A8)</f>
        <v>2</v>
      </c>
      <c r="M8">
        <f>_xll.dnaConvertToInt64(A8)</f>
        <v>2</v>
      </c>
      <c r="N8">
        <f>_xll.dnaConvertToDecimal(A8)</f>
        <v>1.5</v>
      </c>
      <c r="O8">
        <f>_xll.dnaConvertToDateTime(A8)</f>
        <v>1.5</v>
      </c>
      <c r="P8" t="b">
        <f>_xll.dnaConvertToBoolean(A8)</f>
        <v>1</v>
      </c>
      <c r="Q8" t="str">
        <f t="shared" si="19"/>
        <v>Double: 1.5</v>
      </c>
      <c r="R8">
        <f t="shared" si="0"/>
        <v>1.5</v>
      </c>
      <c r="S8" t="str">
        <f t="shared" si="1"/>
        <v>1.5</v>
      </c>
      <c r="T8">
        <f t="shared" si="2"/>
        <v>1.5</v>
      </c>
      <c r="U8">
        <f t="shared" si="3"/>
        <v>1.5</v>
      </c>
      <c r="V8">
        <f t="shared" si="4"/>
        <v>2</v>
      </c>
      <c r="W8">
        <f t="shared" si="5"/>
        <v>2</v>
      </c>
      <c r="X8">
        <f t="shared" si="6"/>
        <v>1.5</v>
      </c>
      <c r="Y8">
        <f t="shared" si="7"/>
        <v>1.5</v>
      </c>
      <c r="Z8" t="b">
        <f t="shared" si="8"/>
        <v>1</v>
      </c>
    </row>
    <row r="9" spans="1:26" x14ac:dyDescent="0.25">
      <c r="A9" s="1">
        <v>2.5</v>
      </c>
      <c r="B9" t="str">
        <f>_xll.dnaDescribe(A9)</f>
        <v>Double: 2.5</v>
      </c>
      <c r="C9">
        <f>_xll.dnaDirectObject(A9)</f>
        <v>2.5</v>
      </c>
      <c r="D9">
        <f t="array" ref="D9">_xll.dnaDirectObject1D(A9)</f>
        <v>2.5</v>
      </c>
      <c r="E9">
        <f t="array" ref="E9">_xll.dnaDirectObject2D(A9)</f>
        <v>2.5</v>
      </c>
      <c r="F9" t="str">
        <f>_xll.dnaConvertToString(A9)</f>
        <v>2.5</v>
      </c>
      <c r="G9">
        <f>_xll.dnaConvertToDouble(A9)</f>
        <v>2.5</v>
      </c>
      <c r="H9">
        <f t="array" ref="H9">_xll.dnaDirectDouble1D(A9)</f>
        <v>2.5</v>
      </c>
      <c r="I9">
        <f t="array" ref="I9">_xll.dnaDirectDouble2D(A9)</f>
        <v>2.5</v>
      </c>
      <c r="J9">
        <f>_xll.dnaConvertToInt16(A9)</f>
        <v>2</v>
      </c>
      <c r="K9">
        <f>_xll.dnaConvertToUInt16(A9)</f>
        <v>2</v>
      </c>
      <c r="L9">
        <f>_xll.dnaConvertToInt32(A9)</f>
        <v>2</v>
      </c>
      <c r="M9">
        <f>_xll.dnaConvertToInt64(A9)</f>
        <v>2</v>
      </c>
      <c r="N9">
        <f>_xll.dnaConvertToDecimal(A9)</f>
        <v>2.5</v>
      </c>
      <c r="O9">
        <f>_xll.dnaConvertToDateTime(A9)</f>
        <v>2.5</v>
      </c>
      <c r="P9" t="b">
        <f>_xll.dnaConvertToBoolean(A9)</f>
        <v>1</v>
      </c>
      <c r="Q9" t="str">
        <f t="shared" si="19"/>
        <v>Double: 2.5</v>
      </c>
      <c r="R9">
        <f t="shared" si="0"/>
        <v>2.5</v>
      </c>
      <c r="S9" t="str">
        <f t="shared" si="1"/>
        <v>2.5</v>
      </c>
      <c r="T9">
        <f t="shared" si="2"/>
        <v>2.5</v>
      </c>
      <c r="U9">
        <f t="shared" si="3"/>
        <v>2.5</v>
      </c>
      <c r="V9">
        <f t="shared" si="4"/>
        <v>2</v>
      </c>
      <c r="W9">
        <f t="shared" si="5"/>
        <v>2</v>
      </c>
      <c r="X9">
        <f t="shared" si="6"/>
        <v>2.5</v>
      </c>
      <c r="Y9">
        <f t="shared" si="7"/>
        <v>2.5</v>
      </c>
      <c r="Z9" t="b">
        <f t="shared" si="8"/>
        <v>1</v>
      </c>
    </row>
    <row r="10" spans="1:26" x14ac:dyDescent="0.25">
      <c r="A10" s="1">
        <v>-1.5</v>
      </c>
      <c r="B10" t="str">
        <f>_xll.dnaDescribe(A10)</f>
        <v>Double: -1.5</v>
      </c>
      <c r="C10">
        <f>_xll.dnaDirectObject(A10)</f>
        <v>-1.5</v>
      </c>
      <c r="D10">
        <f t="array" ref="D10">_xll.dnaDirectObject1D(A10)</f>
        <v>-1.5</v>
      </c>
      <c r="E10">
        <f t="array" ref="E10">_xll.dnaDirectObject2D(A10)</f>
        <v>-1.5</v>
      </c>
      <c r="F10" t="str">
        <f>_xll.dnaConvertToString(A10)</f>
        <v>-1.5</v>
      </c>
      <c r="G10">
        <f>_xll.dnaConvertToDouble(A10)</f>
        <v>-1.5</v>
      </c>
      <c r="H10">
        <f t="array" ref="H10">_xll.dnaDirectDouble1D(A10)</f>
        <v>-1.5</v>
      </c>
      <c r="I10">
        <f t="array" ref="I10">_xll.dnaDirectDouble2D(A10)</f>
        <v>-1.5</v>
      </c>
      <c r="J10">
        <f>_xll.dnaConvertToInt16(A10)</f>
        <v>-2</v>
      </c>
      <c r="K10" t="e">
        <f>_xll.dnaConvertToUInt16(A10)</f>
        <v>#VALUE!</v>
      </c>
      <c r="L10">
        <f>_xll.dnaConvertToInt32(A10)</f>
        <v>-2</v>
      </c>
      <c r="M10">
        <f>_xll.dnaConvertToInt64(A10)</f>
        <v>-2</v>
      </c>
      <c r="N10">
        <f>_xll.dnaConvertToDecimal(A10)</f>
        <v>-1.5</v>
      </c>
      <c r="O10">
        <f>_xll.dnaConvertToDateTime(A10)</f>
        <v>-1.5</v>
      </c>
      <c r="P10" t="b">
        <f>_xll.dnaConvertToBoolean(A10)</f>
        <v>1</v>
      </c>
      <c r="Q10" t="str">
        <f t="shared" si="19"/>
        <v>Double: -1.5</v>
      </c>
      <c r="R10">
        <f t="shared" si="0"/>
        <v>-1.5</v>
      </c>
      <c r="S10" t="str">
        <f t="shared" si="1"/>
        <v>-1.5</v>
      </c>
      <c r="T10">
        <f t="shared" si="2"/>
        <v>-1.5</v>
      </c>
      <c r="U10">
        <f t="shared" si="3"/>
        <v>-1.5</v>
      </c>
      <c r="V10">
        <f t="shared" si="4"/>
        <v>-2</v>
      </c>
      <c r="W10">
        <f t="shared" si="5"/>
        <v>-2</v>
      </c>
      <c r="X10">
        <f t="shared" si="6"/>
        <v>-1.5</v>
      </c>
      <c r="Y10">
        <f t="shared" si="7"/>
        <v>-1.5</v>
      </c>
      <c r="Z10" t="b">
        <f t="shared" si="8"/>
        <v>1</v>
      </c>
    </row>
    <row r="11" spans="1:26" x14ac:dyDescent="0.25">
      <c r="A11" s="1">
        <v>-2.5</v>
      </c>
      <c r="B11" t="str">
        <f>_xll.dnaDescribe(A11)</f>
        <v>Double: -2.5</v>
      </c>
      <c r="C11">
        <f>_xll.dnaDirectObject(A11)</f>
        <v>-2.5</v>
      </c>
      <c r="D11">
        <f t="array" ref="D11">_xll.dnaDirectObject1D(A11)</f>
        <v>-2.5</v>
      </c>
      <c r="E11">
        <f t="array" ref="E11">_xll.dnaDirectObject2D(A11)</f>
        <v>-2.5</v>
      </c>
      <c r="F11" t="str">
        <f>_xll.dnaConvertToString(A11)</f>
        <v>-2.5</v>
      </c>
      <c r="G11">
        <f>_xll.dnaConvertToDouble(A11)</f>
        <v>-2.5</v>
      </c>
      <c r="H11">
        <f t="array" ref="H11">_xll.dnaDirectDouble1D(A11)</f>
        <v>-2.5</v>
      </c>
      <c r="I11">
        <f t="array" ref="I11">_xll.dnaDirectDouble2D(A11)</f>
        <v>-2.5</v>
      </c>
      <c r="J11">
        <f>_xll.dnaConvertToInt16(A11)</f>
        <v>-2</v>
      </c>
      <c r="K11" t="e">
        <f>_xll.dnaConvertToUInt16(A11)</f>
        <v>#VALUE!</v>
      </c>
      <c r="L11">
        <f>_xll.dnaConvertToInt32(A11)</f>
        <v>-2</v>
      </c>
      <c r="M11">
        <f>_xll.dnaConvertToInt64(A11)</f>
        <v>-2</v>
      </c>
      <c r="N11">
        <f>_xll.dnaConvertToDecimal(A11)</f>
        <v>-2.5</v>
      </c>
      <c r="O11">
        <f>_xll.dnaConvertToDateTime(A11)</f>
        <v>-2.5</v>
      </c>
      <c r="P11" t="b">
        <f>_xll.dnaConvertToBoolean(A11)</f>
        <v>1</v>
      </c>
      <c r="Q11" t="str">
        <f t="shared" si="19"/>
        <v>Double: -2.5</v>
      </c>
      <c r="R11">
        <f t="shared" si="0"/>
        <v>-2.5</v>
      </c>
      <c r="S11" t="str">
        <f t="shared" si="1"/>
        <v>-2.5</v>
      </c>
      <c r="T11">
        <f t="shared" si="2"/>
        <v>-2.5</v>
      </c>
      <c r="U11">
        <f t="shared" si="3"/>
        <v>-2.5</v>
      </c>
      <c r="V11">
        <f t="shared" si="4"/>
        <v>-2</v>
      </c>
      <c r="W11">
        <f t="shared" si="5"/>
        <v>-2</v>
      </c>
      <c r="X11">
        <f t="shared" si="6"/>
        <v>-2.5</v>
      </c>
      <c r="Y11">
        <f t="shared" si="7"/>
        <v>-2.5</v>
      </c>
      <c r="Z11" t="b">
        <f t="shared" si="8"/>
        <v>1</v>
      </c>
    </row>
    <row r="12" spans="1:26" x14ac:dyDescent="0.25">
      <c r="A12" s="1">
        <v>35000</v>
      </c>
      <c r="B12" t="str">
        <f>_xll.dnaDescribe(A12)</f>
        <v>Double: 35000</v>
      </c>
      <c r="C12">
        <f>_xll.dnaDirectObject(A12)</f>
        <v>35000</v>
      </c>
      <c r="D12">
        <f t="array" ref="D12">_xll.dnaDirectObject1D(A12)</f>
        <v>35000</v>
      </c>
      <c r="E12">
        <f t="array" ref="E12">_xll.dnaDirectObject2D(A12)</f>
        <v>35000</v>
      </c>
      <c r="F12" t="str">
        <f>_xll.dnaConvertToString(A12)</f>
        <v>35000</v>
      </c>
      <c r="G12">
        <f>_xll.dnaConvertToDouble(A12)</f>
        <v>35000</v>
      </c>
      <c r="H12">
        <f t="array" ref="H12">_xll.dnaDirectDouble1D(A12)</f>
        <v>35000</v>
      </c>
      <c r="I12">
        <f t="array" ref="I12">_xll.dnaDirectDouble2D(A12)</f>
        <v>35000</v>
      </c>
      <c r="J12" t="e">
        <f>_xll.dnaConvertToInt16(A12)</f>
        <v>#VALUE!</v>
      </c>
      <c r="K12">
        <f>_xll.dnaConvertToUInt16(A12)</f>
        <v>35000</v>
      </c>
      <c r="L12">
        <f>_xll.dnaConvertToInt32(A12)</f>
        <v>35000</v>
      </c>
      <c r="M12">
        <f>_xll.dnaConvertToInt64(A12)</f>
        <v>35000</v>
      </c>
      <c r="N12">
        <f>_xll.dnaConvertToDecimal(A12)</f>
        <v>35000</v>
      </c>
      <c r="O12">
        <f>_xll.dnaConvertToDateTime(A12)</f>
        <v>35000</v>
      </c>
      <c r="P12" t="b">
        <f>_xll.dnaConvertToBoolean(A12)</f>
        <v>1</v>
      </c>
      <c r="Q12" t="str">
        <f t="shared" si="19"/>
        <v>Double: 35000</v>
      </c>
      <c r="R12">
        <f t="shared" si="0"/>
        <v>35000</v>
      </c>
      <c r="S12" t="str">
        <f t="shared" si="1"/>
        <v>35000</v>
      </c>
      <c r="T12">
        <f t="shared" si="2"/>
        <v>35000</v>
      </c>
      <c r="U12">
        <f t="shared" si="3"/>
        <v>35000</v>
      </c>
      <c r="V12" t="e">
        <f t="shared" si="4"/>
        <v>#NUM!</v>
      </c>
      <c r="W12">
        <f t="shared" si="5"/>
        <v>35000</v>
      </c>
      <c r="X12">
        <f t="shared" si="6"/>
        <v>35000</v>
      </c>
      <c r="Y12">
        <f t="shared" si="7"/>
        <v>35000</v>
      </c>
      <c r="Z12" t="b">
        <f t="shared" si="8"/>
        <v>1</v>
      </c>
    </row>
    <row r="13" spans="1:26" x14ac:dyDescent="0.25">
      <c r="A13" s="1" t="b">
        <v>1</v>
      </c>
      <c r="B13" t="str">
        <f>_xll.dnaDescribe(A13)</f>
        <v>Boolean: True</v>
      </c>
      <c r="C13" t="b">
        <f>_xll.dnaDirectObject(A13)</f>
        <v>1</v>
      </c>
      <c r="D13" t="b">
        <f t="array" ref="D13">_xll.dnaDirectObject1D(A13)</f>
        <v>1</v>
      </c>
      <c r="E13" t="b">
        <f t="array" ref="E13">_xll.dnaDirectObject2D(A13)</f>
        <v>1</v>
      </c>
      <c r="F13" t="str">
        <f>_xll.dnaConvertToString(A13)</f>
        <v>TRUE</v>
      </c>
      <c r="G13">
        <f>_xll.dnaConvertToDouble(A13)</f>
        <v>1</v>
      </c>
      <c r="H13">
        <f t="array" ref="H13">_xll.dnaDirectDouble1D(A13)</f>
        <v>1</v>
      </c>
      <c r="I13">
        <f t="array" ref="I13">_xll.dnaDirectDouble2D(A13)</f>
        <v>1</v>
      </c>
      <c r="J13">
        <f>_xll.dnaConvertToInt16(A13)</f>
        <v>1</v>
      </c>
      <c r="K13">
        <f>_xll.dnaConvertToUInt16(A13)</f>
        <v>1</v>
      </c>
      <c r="L13">
        <f>_xll.dnaConvertToInt32(A13)</f>
        <v>1</v>
      </c>
      <c r="M13">
        <f>_xll.dnaConvertToInt64(A13)</f>
        <v>1</v>
      </c>
      <c r="N13">
        <f>_xll.dnaConvertToDecimal(A13)</f>
        <v>1</v>
      </c>
      <c r="O13">
        <f>_xll.dnaConvertToDateTime(A13)</f>
        <v>1</v>
      </c>
      <c r="P13" t="b">
        <f>_xll.dnaConvertToBoolean(A13)</f>
        <v>1</v>
      </c>
      <c r="Q13" t="str">
        <f t="shared" si="19"/>
        <v>Boolean: True</v>
      </c>
      <c r="R13" t="b">
        <f t="shared" si="0"/>
        <v>1</v>
      </c>
      <c r="S13" t="str">
        <f t="shared" si="1"/>
        <v>True</v>
      </c>
      <c r="T13">
        <f t="shared" si="2"/>
        <v>-1</v>
      </c>
      <c r="U13">
        <f t="shared" si="3"/>
        <v>-1</v>
      </c>
      <c r="V13">
        <f t="shared" si="4"/>
        <v>-1</v>
      </c>
      <c r="W13">
        <f t="shared" si="5"/>
        <v>-1</v>
      </c>
      <c r="X13">
        <f t="shared" si="6"/>
        <v>-1</v>
      </c>
      <c r="Y13">
        <f t="shared" si="7"/>
        <v>-1</v>
      </c>
      <c r="Z13" t="b">
        <f t="shared" si="8"/>
        <v>1</v>
      </c>
    </row>
    <row r="14" spans="1:26" x14ac:dyDescent="0.25">
      <c r="A14" s="1" t="b">
        <v>0</v>
      </c>
      <c r="B14" t="str">
        <f>_xll.dnaDescribe(A14)</f>
        <v>Boolean: False</v>
      </c>
      <c r="C14" t="b">
        <f>_xll.dnaDirectObject(A14)</f>
        <v>0</v>
      </c>
      <c r="D14" t="b">
        <f t="array" ref="D14">_xll.dnaDirectObject1D(A14)</f>
        <v>0</v>
      </c>
      <c r="E14" t="b">
        <f t="array" ref="E14">_xll.dnaDirectObject2D(A14)</f>
        <v>0</v>
      </c>
      <c r="F14" t="str">
        <f>_xll.dnaConvertToString(A14)</f>
        <v>FALSE</v>
      </c>
      <c r="G14">
        <f>_xll.dnaConvertToDouble(A14)</f>
        <v>0</v>
      </c>
      <c r="H14">
        <f t="array" ref="H14">_xll.dnaDirectDouble1D(A14)</f>
        <v>0</v>
      </c>
      <c r="I14">
        <f t="array" ref="I14">_xll.dnaDirectDouble2D(A14)</f>
        <v>0</v>
      </c>
      <c r="J14">
        <f>_xll.dnaConvertToInt16(A14)</f>
        <v>0</v>
      </c>
      <c r="K14">
        <f>_xll.dnaConvertToUInt16(A14)</f>
        <v>0</v>
      </c>
      <c r="L14">
        <f>_xll.dnaConvertToInt32(A14)</f>
        <v>0</v>
      </c>
      <c r="M14">
        <f>_xll.dnaConvertToInt64(A14)</f>
        <v>0</v>
      </c>
      <c r="N14">
        <f>_xll.dnaConvertToDecimal(A14)</f>
        <v>0</v>
      </c>
      <c r="O14">
        <f>_xll.dnaConvertToDateTime(A14)</f>
        <v>0</v>
      </c>
      <c r="P14" t="b">
        <f>_xll.dnaConvertToBoolean(A14)</f>
        <v>0</v>
      </c>
      <c r="Q14" t="str">
        <f t="shared" si="19"/>
        <v>Boolean: False</v>
      </c>
      <c r="R14" t="b">
        <f t="shared" si="0"/>
        <v>0</v>
      </c>
      <c r="S14" t="str">
        <f t="shared" si="1"/>
        <v>False</v>
      </c>
      <c r="T14">
        <f t="shared" si="2"/>
        <v>0</v>
      </c>
      <c r="U14">
        <f t="shared" si="3"/>
        <v>0</v>
      </c>
      <c r="V14">
        <f t="shared" si="4"/>
        <v>0</v>
      </c>
      <c r="W14">
        <f t="shared" si="5"/>
        <v>0</v>
      </c>
      <c r="X14">
        <f t="shared" si="6"/>
        <v>0</v>
      </c>
      <c r="Y14">
        <f t="shared" si="7"/>
        <v>0</v>
      </c>
      <c r="Z14" t="b">
        <f t="shared" si="8"/>
        <v>0</v>
      </c>
    </row>
    <row r="15" spans="1:26" x14ac:dyDescent="0.25">
      <c r="A15" s="6">
        <v>41529</v>
      </c>
      <c r="B15" t="str">
        <f>_xll.dnaDescribe(A15)</f>
        <v>Double: 41529</v>
      </c>
      <c r="C15">
        <f>_xll.dnaDirectObject(A15)</f>
        <v>41529</v>
      </c>
      <c r="D15">
        <f t="array" ref="D15">_xll.dnaDirectObject1D(A15)</f>
        <v>41529</v>
      </c>
      <c r="E15">
        <f t="array" ref="E15">_xll.dnaDirectObject2D(A15)</f>
        <v>41529</v>
      </c>
      <c r="F15" t="str">
        <f>_xll.dnaConvertToString(A15)</f>
        <v>41529</v>
      </c>
      <c r="G15">
        <f>_xll.dnaConvertToDouble(A15)</f>
        <v>41529</v>
      </c>
      <c r="H15">
        <f t="array" ref="H15">_xll.dnaDirectDouble1D(A15)</f>
        <v>41529</v>
      </c>
      <c r="I15">
        <f t="array" ref="I15">_xll.dnaDirectDouble2D(A15)</f>
        <v>41529</v>
      </c>
      <c r="J15" t="e">
        <f>_xll.dnaConvertToInt16(A15)</f>
        <v>#VALUE!</v>
      </c>
      <c r="K15">
        <f>_xll.dnaConvertToUInt16(A15)</f>
        <v>41529</v>
      </c>
      <c r="L15">
        <f>_xll.dnaConvertToInt32(A15)</f>
        <v>41529</v>
      </c>
      <c r="M15">
        <f>_xll.dnaConvertToInt64(A15)</f>
        <v>41529</v>
      </c>
      <c r="N15">
        <f>_xll.dnaConvertToDecimal(A15)</f>
        <v>41529</v>
      </c>
      <c r="O15">
        <f>_xll.dnaConvertToDateTime(A15)</f>
        <v>41529</v>
      </c>
      <c r="P15" t="b">
        <f>_xll.dnaConvertToBoolean(A15)</f>
        <v>1</v>
      </c>
      <c r="Q15" t="str">
        <f t="shared" si="19"/>
        <v>Date: 2013-09-12</v>
      </c>
      <c r="R15">
        <f t="shared" si="0"/>
        <v>41529</v>
      </c>
      <c r="S15" t="str">
        <f t="shared" si="1"/>
        <v>2013-09-12</v>
      </c>
      <c r="T15">
        <f t="shared" si="2"/>
        <v>41529</v>
      </c>
      <c r="U15">
        <f t="shared" si="3"/>
        <v>41529</v>
      </c>
      <c r="V15" t="e">
        <f t="shared" si="4"/>
        <v>#NUM!</v>
      </c>
      <c r="W15">
        <f t="shared" si="5"/>
        <v>41529</v>
      </c>
      <c r="X15">
        <f t="shared" si="6"/>
        <v>41529</v>
      </c>
      <c r="Y15">
        <f t="shared" si="7"/>
        <v>41529</v>
      </c>
      <c r="Z15" t="b">
        <f t="shared" si="8"/>
        <v>1</v>
      </c>
    </row>
    <row r="16" spans="1:26" x14ac:dyDescent="0.25">
      <c r="A16" s="7">
        <v>0.52152777777777781</v>
      </c>
      <c r="B16" t="str">
        <f>_xll.dnaDescribe(A16)</f>
        <v>Double: 0.521527777777778</v>
      </c>
      <c r="C16">
        <f>_xll.dnaDirectObject(A16)</f>
        <v>0.52152777777777781</v>
      </c>
      <c r="D16">
        <f t="array" ref="D16">_xll.dnaDirectObject1D(A16)</f>
        <v>0.52152777777777781</v>
      </c>
      <c r="E16">
        <f t="array" ref="E16">_xll.dnaDirectObject2D(A16)</f>
        <v>0.52152777777777781</v>
      </c>
      <c r="F16" t="str">
        <f>_xll.dnaConvertToString(A16)</f>
        <v>0.521527777777778</v>
      </c>
      <c r="G16">
        <f>_xll.dnaConvertToDouble(A16)</f>
        <v>0.52152777777777781</v>
      </c>
      <c r="H16">
        <f t="array" ref="H16">_xll.dnaDirectDouble1D(A16)</f>
        <v>0.52152777777777781</v>
      </c>
      <c r="I16">
        <f t="array" ref="I16">_xll.dnaDirectDouble2D(A16)</f>
        <v>0.52152777777777781</v>
      </c>
      <c r="J16">
        <f>_xll.dnaConvertToInt16(A16)</f>
        <v>1</v>
      </c>
      <c r="K16">
        <f>_xll.dnaConvertToUInt16(A16)</f>
        <v>1</v>
      </c>
      <c r="L16">
        <f>_xll.dnaConvertToInt32(A16)</f>
        <v>1</v>
      </c>
      <c r="M16">
        <f>_xll.dnaConvertToInt64(A16)</f>
        <v>1</v>
      </c>
      <c r="N16">
        <f>_xll.dnaConvertToDecimal(A16)</f>
        <v>0.52152777777777803</v>
      </c>
      <c r="O16">
        <f>_xll.dnaConvertToDateTime(A16)</f>
        <v>0.52152777777777781</v>
      </c>
      <c r="P16" t="b">
        <f>_xll.dnaConvertToBoolean(A16)</f>
        <v>1</v>
      </c>
      <c r="Q16" t="str">
        <f t="shared" si="19"/>
        <v>Double: 0.521527777777778</v>
      </c>
      <c r="R16">
        <f t="shared" si="0"/>
        <v>0.52152777777777781</v>
      </c>
      <c r="S16" t="str">
        <f t="shared" si="1"/>
        <v>0.521527777777778</v>
      </c>
      <c r="T16">
        <f t="shared" si="2"/>
        <v>0.52152777777777781</v>
      </c>
      <c r="U16">
        <f t="shared" si="3"/>
        <v>0.52152776718139648</v>
      </c>
      <c r="V16">
        <f t="shared" si="4"/>
        <v>1</v>
      </c>
      <c r="W16">
        <f t="shared" si="5"/>
        <v>1</v>
      </c>
      <c r="X16">
        <f t="shared" si="6"/>
        <v>0.52149999999999996</v>
      </c>
      <c r="Y16">
        <f t="shared" si="7"/>
        <v>0.52152777777777781</v>
      </c>
      <c r="Z16" t="b">
        <f t="shared" si="8"/>
        <v>1</v>
      </c>
    </row>
    <row r="17" spans="1:26" x14ac:dyDescent="0.25">
      <c r="A17" s="1" t="e">
        <f>NA()</f>
        <v>#N/A</v>
      </c>
      <c r="B17" t="str">
        <f>_xll.dnaDescribe(A17)</f>
        <v>ExcelError: ExcelErrorNA</v>
      </c>
      <c r="C17" t="e">
        <f>_xll.dnaDirectObject(A17)</f>
        <v>#N/A</v>
      </c>
      <c r="D17" t="e">
        <f t="array" ref="D17">_xll.dnaDirectObject1D(A17)</f>
        <v>#N/A</v>
      </c>
      <c r="E17" t="e">
        <f t="array" ref="E17">_xll.dnaDirectObject2D(A17)</f>
        <v>#N/A</v>
      </c>
      <c r="F17" t="e">
        <f>_xll.dnaConvertToString(A17)</f>
        <v>#VALUE!</v>
      </c>
      <c r="G17" t="e">
        <f>_xll.dnaConvertToDouble(A17)</f>
        <v>#VALUE!</v>
      </c>
      <c r="H17" t="e">
        <f t="array" ref="H17">_xll.dnaDirectDouble1D(A17)</f>
        <v>#VALUE!</v>
      </c>
      <c r="I17" t="e">
        <f t="array" ref="I17">_xll.dnaDirectDouble2D(A17)</f>
        <v>#VALUE!</v>
      </c>
      <c r="J17" t="e">
        <f>_xll.dnaConvertToInt16(A17)</f>
        <v>#VALUE!</v>
      </c>
      <c r="K17" t="e">
        <f>_xll.dnaConvertToUInt16(A17)</f>
        <v>#VALUE!</v>
      </c>
      <c r="L17" t="e">
        <f>_xll.dnaConvertToInt32(A17)</f>
        <v>#VALUE!</v>
      </c>
      <c r="M17" t="e">
        <f>_xll.dnaConvertToInt64(A17)</f>
        <v>#VALUE!</v>
      </c>
      <c r="N17" t="e">
        <f>_xll.dnaConvertToDecimal(A17)</f>
        <v>#VALUE!</v>
      </c>
      <c r="O17" t="e">
        <f>_xll.dnaConvertToDateTime(A17)</f>
        <v>#VALUE!</v>
      </c>
      <c r="P17" t="e">
        <f>_xll.dnaConvertToBoolean(A17)</f>
        <v>#VALUE!</v>
      </c>
      <c r="Q17" t="str">
        <f>vbaDescribe(A17)</f>
        <v>&lt;&lt;Error&gt;&gt;: 2042</v>
      </c>
      <c r="R17" t="e">
        <f t="shared" si="0"/>
        <v>#N/A</v>
      </c>
      <c r="S17" t="e">
        <f t="shared" si="1"/>
        <v>#VALUE!</v>
      </c>
      <c r="T17" t="e">
        <f t="shared" si="2"/>
        <v>#VALUE!</v>
      </c>
      <c r="U17" t="e">
        <f t="shared" si="3"/>
        <v>#VALUE!</v>
      </c>
      <c r="V17" t="e">
        <f t="shared" si="4"/>
        <v>#VALUE!</v>
      </c>
      <c r="W17" t="e">
        <f t="shared" si="5"/>
        <v>#VALUE!</v>
      </c>
      <c r="X17" t="e">
        <f t="shared" si="6"/>
        <v>#VALUE!</v>
      </c>
      <c r="Y17" t="e">
        <f t="shared" si="7"/>
        <v>#VALUE!</v>
      </c>
      <c r="Z17" t="e">
        <f t="shared" si="8"/>
        <v>#VALUE!</v>
      </c>
    </row>
    <row r="18" spans="1:26" x14ac:dyDescent="0.25">
      <c r="A18" s="1" t="e">
        <f>ASIN(100)</f>
        <v>#NUM!</v>
      </c>
      <c r="B18" t="str">
        <f>_xll.dnaDescribe(A18)</f>
        <v>ExcelError: ExcelErrorNum</v>
      </c>
      <c r="C18" t="e">
        <f>_xll.dnaDirectObject(A18)</f>
        <v>#NUM!</v>
      </c>
      <c r="D18" t="e">
        <f t="array" ref="D18">_xll.dnaDirectObject1D(A18)</f>
        <v>#NUM!</v>
      </c>
      <c r="E18" t="e">
        <f t="array" ref="E18">_xll.dnaDirectObject2D(A18)</f>
        <v>#NUM!</v>
      </c>
      <c r="F18" t="e">
        <f>_xll.dnaConvertToString(A18)</f>
        <v>#VALUE!</v>
      </c>
      <c r="G18" t="e">
        <f>_xll.dnaConvertToDouble(A18)</f>
        <v>#VALUE!</v>
      </c>
      <c r="H18" t="e">
        <f t="array" ref="H18">_xll.dnaDirectDouble1D(A18)</f>
        <v>#VALUE!</v>
      </c>
      <c r="I18" t="e">
        <f t="array" ref="I18">_xll.dnaDirectDouble2D(A18)</f>
        <v>#VALUE!</v>
      </c>
      <c r="J18" t="e">
        <f>_xll.dnaConvertToInt16(A18)</f>
        <v>#VALUE!</v>
      </c>
      <c r="K18" t="e">
        <f>_xll.dnaConvertToUInt16(A18)</f>
        <v>#VALUE!</v>
      </c>
      <c r="L18" t="e">
        <f>_xll.dnaConvertToInt32(A18)</f>
        <v>#VALUE!</v>
      </c>
      <c r="M18" t="e">
        <f>_xll.dnaConvertToInt64(A18)</f>
        <v>#VALUE!</v>
      </c>
      <c r="N18" t="e">
        <f>_xll.dnaConvertToDecimal(A18)</f>
        <v>#VALUE!</v>
      </c>
      <c r="O18" t="e">
        <f>_xll.dnaConvertToDateTime(A18)</f>
        <v>#VALUE!</v>
      </c>
      <c r="P18" t="e">
        <f>_xll.dnaConvertToBoolean(A18)</f>
        <v>#VALUE!</v>
      </c>
      <c r="Q18" t="str">
        <f>vbaDescribe(A18)</f>
        <v>&lt;&lt;Error&gt;&gt;: 2036</v>
      </c>
      <c r="R18" t="e">
        <f t="shared" si="0"/>
        <v>#NUM!</v>
      </c>
      <c r="S18" t="e">
        <f t="shared" si="1"/>
        <v>#VALUE!</v>
      </c>
      <c r="T18" t="e">
        <f t="shared" si="2"/>
        <v>#VALUE!</v>
      </c>
      <c r="U18" t="e">
        <f t="shared" si="3"/>
        <v>#VALUE!</v>
      </c>
      <c r="V18" t="e">
        <f t="shared" si="4"/>
        <v>#VALUE!</v>
      </c>
      <c r="W18" t="e">
        <f t="shared" si="5"/>
        <v>#VALUE!</v>
      </c>
      <c r="X18" t="e">
        <f t="shared" si="6"/>
        <v>#VALUE!</v>
      </c>
      <c r="Y18" t="e">
        <f t="shared" si="7"/>
        <v>#VALUE!</v>
      </c>
      <c r="Z18" t="e">
        <f t="shared" si="8"/>
        <v>#VALUE!</v>
      </c>
    </row>
    <row r="19" spans="1:26" x14ac:dyDescent="0.25">
      <c r="A19" s="1" t="e">
        <f>_xll.dnaDirectBoolean("asd")</f>
        <v>#VALUE!</v>
      </c>
      <c r="B19" t="str">
        <f>_xll.dnaDescribe(A19)</f>
        <v>ExcelError: ExcelErrorValue</v>
      </c>
      <c r="C19" t="e">
        <f>_xll.dnaDirectObject(A19)</f>
        <v>#VALUE!</v>
      </c>
      <c r="D19" t="e">
        <f t="array" ref="D19">_xll.dnaDirectObject1D(A19)</f>
        <v>#VALUE!</v>
      </c>
      <c r="E19" t="e">
        <f t="array" ref="E19">_xll.dnaDirectObject2D(A19)</f>
        <v>#VALUE!</v>
      </c>
      <c r="F19" t="e">
        <f>_xll.dnaConvertToString(A19)</f>
        <v>#VALUE!</v>
      </c>
      <c r="G19" t="e">
        <f>_xll.dnaConvertToDouble(A19)</f>
        <v>#VALUE!</v>
      </c>
      <c r="H19" t="e">
        <f t="array" ref="H19">_xll.dnaDirectDouble1D(A19)</f>
        <v>#VALUE!</v>
      </c>
      <c r="I19" t="e">
        <f t="array" ref="I19">_xll.dnaDirectDouble2D(A19)</f>
        <v>#VALUE!</v>
      </c>
      <c r="J19" t="e">
        <f>_xll.dnaConvertToInt16(A19)</f>
        <v>#VALUE!</v>
      </c>
      <c r="K19" t="e">
        <f>_xll.dnaConvertToUInt16(A19)</f>
        <v>#VALUE!</v>
      </c>
      <c r="L19" t="e">
        <f>_xll.dnaConvertToInt32(A19)</f>
        <v>#VALUE!</v>
      </c>
      <c r="M19" t="e">
        <f>_xll.dnaConvertToInt64(A19)</f>
        <v>#VALUE!</v>
      </c>
      <c r="N19" t="e">
        <f>_xll.dnaConvertToDecimal(A19)</f>
        <v>#VALUE!</v>
      </c>
      <c r="O19" t="e">
        <f>_xll.dnaConvertToDateTime(A19)</f>
        <v>#VALUE!</v>
      </c>
      <c r="P19" t="e">
        <f>_xll.dnaConvertToBoolean(A19)</f>
        <v>#VALUE!</v>
      </c>
      <c r="Q19" t="str">
        <f t="shared" si="19"/>
        <v>&lt;&lt;Error&gt;&gt;: 2015</v>
      </c>
      <c r="R19" t="e">
        <f t="shared" si="0"/>
        <v>#VALUE!</v>
      </c>
      <c r="S19" t="e">
        <f t="shared" si="1"/>
        <v>#VALUE!</v>
      </c>
      <c r="T19" t="e">
        <f t="shared" si="2"/>
        <v>#VALUE!</v>
      </c>
      <c r="U19" t="e">
        <f t="shared" si="3"/>
        <v>#VALUE!</v>
      </c>
      <c r="V19" t="e">
        <f t="shared" si="4"/>
        <v>#VALUE!</v>
      </c>
      <c r="W19" t="e">
        <f t="shared" si="5"/>
        <v>#VALUE!</v>
      </c>
      <c r="X19" t="e">
        <f t="shared" si="6"/>
        <v>#VALUE!</v>
      </c>
      <c r="Y19" t="e">
        <f t="shared" si="7"/>
        <v>#VALUE!</v>
      </c>
      <c r="Z19" t="e">
        <f t="shared" si="8"/>
        <v>#VALUE!</v>
      </c>
    </row>
    <row r="20" spans="1:26" x14ac:dyDescent="0.25">
      <c r="A20" s="1" t="e">
        <f ca="1">asd()</f>
        <v>#NAME?</v>
      </c>
      <c r="B20" t="str">
        <f ca="1">_xll.dnaDescribe(A20)</f>
        <v>ExcelError: ExcelErrorName</v>
      </c>
      <c r="C20" t="e">
        <f ca="1">_xll.dnaDirectObject(A20)</f>
        <v>#NAME?</v>
      </c>
      <c r="D20" t="e">
        <f t="array" aca="1" ref="D20" ca="1">_xll.dnaDirectObject1D(A20)</f>
        <v>#NAME?</v>
      </c>
      <c r="E20" t="e">
        <f t="array" aca="1" ref="E20" ca="1">_xll.dnaDirectObject2D(A20)</f>
        <v>#NAME?</v>
      </c>
      <c r="F20" t="e">
        <f ca="1">_xll.dnaConvertToString(A20)</f>
        <v>#VALUE!</v>
      </c>
      <c r="G20" t="e">
        <f ca="1">_xll.dnaConvertToDouble(A20)</f>
        <v>#VALUE!</v>
      </c>
      <c r="H20" t="e">
        <f t="array" aca="1" ref="H20" ca="1">_xll.dnaDirectDouble1D(A20)</f>
        <v>#VALUE!</v>
      </c>
      <c r="I20" t="e">
        <f t="array" aca="1" ref="I20" ca="1">_xll.dnaDirectDouble2D(A20)</f>
        <v>#VALUE!</v>
      </c>
      <c r="J20" t="e">
        <f ca="1">_xll.dnaConvertToInt16(A20)</f>
        <v>#VALUE!</v>
      </c>
      <c r="K20" t="e">
        <f ca="1">_xll.dnaConvertToUInt16(A20)</f>
        <v>#VALUE!</v>
      </c>
      <c r="L20" t="e">
        <f ca="1">_xll.dnaConvertToInt32(A20)</f>
        <v>#VALUE!</v>
      </c>
      <c r="M20" t="e">
        <f ca="1">_xll.dnaConvertToInt64(A20)</f>
        <v>#VALUE!</v>
      </c>
      <c r="N20" t="e">
        <f ca="1">_xll.dnaConvertToDecimal(A20)</f>
        <v>#VALUE!</v>
      </c>
      <c r="O20" t="e">
        <f ca="1">_xll.dnaConvertToDateTime(A20)</f>
        <v>#VALUE!</v>
      </c>
      <c r="P20" t="e">
        <f ca="1">_xll.dnaConvertToBoolean(A20)</f>
        <v>#VALUE!</v>
      </c>
      <c r="Q20" t="str">
        <f t="shared" ca="1" si="19"/>
        <v>&lt;&lt;Error&gt;&gt;: 2029</v>
      </c>
      <c r="R20" t="e">
        <f t="shared" ca="1" si="0"/>
        <v>#NAME?</v>
      </c>
      <c r="S20" t="e">
        <f t="shared" ca="1" si="1"/>
        <v>#VALUE!</v>
      </c>
      <c r="T20" t="e">
        <f t="shared" ca="1" si="2"/>
        <v>#VALUE!</v>
      </c>
      <c r="U20" t="e">
        <f t="shared" ca="1" si="3"/>
        <v>#VALUE!</v>
      </c>
      <c r="V20" t="e">
        <f t="shared" ca="1" si="4"/>
        <v>#VALUE!</v>
      </c>
      <c r="W20" t="e">
        <f t="shared" ca="1" si="5"/>
        <v>#VALUE!</v>
      </c>
      <c r="X20" t="e">
        <f t="shared" ca="1" si="6"/>
        <v>#VALUE!</v>
      </c>
      <c r="Y20" t="e">
        <f t="shared" ca="1" si="7"/>
        <v>#VALUE!</v>
      </c>
      <c r="Z20" t="e">
        <f t="shared" ca="1" si="8"/>
        <v>#VALUE!</v>
      </c>
    </row>
    <row r="21" spans="1:26" x14ac:dyDescent="0.25">
      <c r="A21" s="1" t="s">
        <v>22</v>
      </c>
      <c r="B21" t="str">
        <f>_xll.dnaDescribe(A21)</f>
        <v>String: 33 Sept 2013</v>
      </c>
      <c r="C21" t="str">
        <f>_xll.dnaDirectObject(A21)</f>
        <v>33 Sept 2013</v>
      </c>
      <c r="D21" t="str">
        <f t="array" ref="D21">_xll.dnaDirectObject1D(A21)</f>
        <v>33 Sept 2013</v>
      </c>
      <c r="E21" t="str">
        <f t="array" ref="E21">_xll.dnaDirectObject2D(A21)</f>
        <v>33 Sept 2013</v>
      </c>
      <c r="F21" t="str">
        <f>_xll.dnaConvertToString(A21)</f>
        <v>33 Sept 2013</v>
      </c>
      <c r="G21" t="e">
        <f>_xll.dnaConvertToDouble(A21)</f>
        <v>#VALUE!</v>
      </c>
      <c r="H21" t="e">
        <f t="array" ref="H21">_xll.dnaDirectDouble1D(A21)</f>
        <v>#VALUE!</v>
      </c>
      <c r="I21" t="e">
        <f t="array" ref="I21">_xll.dnaDirectDouble2D(A21)</f>
        <v>#VALUE!</v>
      </c>
      <c r="J21" t="e">
        <f>_xll.dnaConvertToInt16(A21)</f>
        <v>#VALUE!</v>
      </c>
      <c r="K21" t="e">
        <f>_xll.dnaConvertToUInt16(A21)</f>
        <v>#VALUE!</v>
      </c>
      <c r="L21" t="e">
        <f>_xll.dnaConvertToInt32(A21)</f>
        <v>#VALUE!</v>
      </c>
      <c r="M21" t="e">
        <f>_xll.dnaConvertToInt64(A21)</f>
        <v>#VALUE!</v>
      </c>
      <c r="N21" t="e">
        <f>_xll.dnaConvertToDecimal(A21)</f>
        <v>#VALUE!</v>
      </c>
      <c r="O21" t="e">
        <f>_xll.dnaConvertToDateTime(A21)</f>
        <v>#VALUE!</v>
      </c>
      <c r="P21" t="e">
        <f>_xll.dnaConvertToBoolean(A21)</f>
        <v>#VALUE!</v>
      </c>
      <c r="Q21" t="str">
        <f t="shared" si="19"/>
        <v>String: 33 Sept 2013</v>
      </c>
      <c r="R21" t="str">
        <f t="shared" si="0"/>
        <v>33 Sept 2013</v>
      </c>
      <c r="S21" t="str">
        <f t="shared" si="1"/>
        <v>33 Sept 2013</v>
      </c>
      <c r="T21" t="e">
        <f t="shared" si="2"/>
        <v>#VALUE!</v>
      </c>
      <c r="U21" t="e">
        <f t="shared" si="3"/>
        <v>#VALUE!</v>
      </c>
      <c r="V21" t="e">
        <f t="shared" si="4"/>
        <v>#VALUE!</v>
      </c>
      <c r="W21" t="e">
        <f t="shared" si="5"/>
        <v>#VALUE!</v>
      </c>
      <c r="X21" t="e">
        <f t="shared" si="6"/>
        <v>#VALUE!</v>
      </c>
      <c r="Y21" t="e">
        <f t="shared" si="7"/>
        <v>#VALUE!</v>
      </c>
      <c r="Z21" t="e">
        <f t="shared" si="8"/>
        <v>#VALUE!</v>
      </c>
    </row>
    <row r="22" spans="1:26" x14ac:dyDescent="0.25">
      <c r="A22" s="8">
        <v>9.9999999999999997E+199</v>
      </c>
      <c r="B22" t="str">
        <f>_xll.dnaDescribe(A22)</f>
        <v>Double: 1E+200</v>
      </c>
      <c r="C22">
        <f>_xll.dnaDirectObject(A22)</f>
        <v>9.9999999999999997E+199</v>
      </c>
      <c r="D22">
        <f t="array" ref="D22">_xll.dnaDirectObject1D(A22)</f>
        <v>9.9999999999999997E+199</v>
      </c>
      <c r="E22">
        <f t="array" ref="E22">_xll.dnaDirectObject2D(A22)</f>
        <v>9.9999999999999997E+199</v>
      </c>
      <c r="F22" t="str">
        <f>_xll.dnaConvertToString(A22)</f>
        <v>1E+200</v>
      </c>
      <c r="G22">
        <f>_xll.dnaConvertToDouble(A22)</f>
        <v>9.9999999999999997E+199</v>
      </c>
      <c r="H22">
        <f t="array" ref="H22">_xll.dnaDirectDouble1D(A22)</f>
        <v>9.9999999999999997E+199</v>
      </c>
      <c r="I22">
        <f t="array" ref="I22">_xll.dnaDirectDouble2D(A22)</f>
        <v>9.9999999999999997E+199</v>
      </c>
      <c r="J22" t="e">
        <f>_xll.dnaConvertToInt16(A22)</f>
        <v>#VALUE!</v>
      </c>
      <c r="K22" t="e">
        <f>_xll.dnaConvertToUInt16(A22)</f>
        <v>#VALUE!</v>
      </c>
      <c r="L22" t="e">
        <f>_xll.dnaConvertToInt32(A22)</f>
        <v>#VALUE!</v>
      </c>
      <c r="M22" t="e">
        <f>_xll.dnaConvertToInt64(A22)</f>
        <v>#VALUE!</v>
      </c>
      <c r="N22" t="e">
        <f>_xll.dnaConvertToDecimal(A22)</f>
        <v>#VALUE!</v>
      </c>
      <c r="O22" t="e">
        <f>_xll.dnaConvertToDateTime(A22)</f>
        <v>#VALUE!</v>
      </c>
      <c r="P22" t="b">
        <f>_xll.dnaConvertToBoolean(A22)</f>
        <v>1</v>
      </c>
      <c r="Q22" t="str">
        <f t="shared" si="19"/>
        <v>Double: 1E+200</v>
      </c>
      <c r="R22">
        <f t="shared" si="0"/>
        <v>9.9999999999999997E+199</v>
      </c>
      <c r="S22" t="str">
        <f t="shared" si="1"/>
        <v>1E+200</v>
      </c>
      <c r="T22">
        <f t="shared" si="2"/>
        <v>9.9999999999999997E+199</v>
      </c>
      <c r="U22" t="e">
        <f t="shared" si="3"/>
        <v>#NUM!</v>
      </c>
      <c r="V22" t="e">
        <f t="shared" si="4"/>
        <v>#NUM!</v>
      </c>
      <c r="W22" t="e">
        <f t="shared" si="5"/>
        <v>#NUM!</v>
      </c>
      <c r="X22" t="e">
        <f t="shared" si="6"/>
        <v>#NUM!</v>
      </c>
      <c r="Y22" t="e">
        <f t="shared" si="7"/>
        <v>#NUM!</v>
      </c>
      <c r="Z22" t="b">
        <f t="shared" si="8"/>
        <v>1</v>
      </c>
    </row>
    <row r="23" spans="1:26" x14ac:dyDescent="0.25">
      <c r="A23" s="9" t="s">
        <v>23</v>
      </c>
      <c r="B23" t="str">
        <f>_xll.dnaDescribe(A23)</f>
        <v>String: 1.23</v>
      </c>
      <c r="C23" t="str">
        <f>_xll.dnaDirectObject(A23)</f>
        <v>1.23</v>
      </c>
      <c r="D23" t="str">
        <f t="array" ref="D23">_xll.dnaDirectObject1D(A23)</f>
        <v>1.23</v>
      </c>
      <c r="E23" t="str">
        <f t="array" ref="E23">_xll.dnaDirectObject2D(A23)</f>
        <v>1.23</v>
      </c>
      <c r="F23" t="str">
        <f>_xll.dnaConvertToString(A23)</f>
        <v>1.23</v>
      </c>
      <c r="G23">
        <f>_xll.dnaConvertToDouble(A23)</f>
        <v>1.23</v>
      </c>
      <c r="H23">
        <f t="array" ref="H23">_xll.dnaDirectDouble1D(A23)</f>
        <v>1.23</v>
      </c>
      <c r="I23">
        <f t="array" ref="I23">_xll.dnaDirectDouble2D(A23)</f>
        <v>1.23</v>
      </c>
      <c r="J23">
        <f>_xll.dnaConvertToInt16(A23)</f>
        <v>1</v>
      </c>
      <c r="K23">
        <f>_xll.dnaConvertToUInt16(A23)</f>
        <v>1</v>
      </c>
      <c r="L23">
        <f>_xll.dnaConvertToInt32(A23)</f>
        <v>1</v>
      </c>
      <c r="M23">
        <f>_xll.dnaConvertToInt64(A23)</f>
        <v>1</v>
      </c>
      <c r="N23">
        <f>_xll.dnaConvertToDecimal(A23)</f>
        <v>1.23</v>
      </c>
      <c r="O23">
        <f>_xll.dnaConvertToDateTime(A23)</f>
        <v>1.23</v>
      </c>
      <c r="P23" t="b">
        <f>_xll.dnaConvertToBoolean(A23)</f>
        <v>1</v>
      </c>
      <c r="Q23" t="str">
        <f t="shared" si="19"/>
        <v>String: 1.23</v>
      </c>
      <c r="R23" t="str">
        <f t="shared" si="0"/>
        <v>1.23</v>
      </c>
      <c r="S23" t="str">
        <f t="shared" si="1"/>
        <v>1.23</v>
      </c>
      <c r="T23">
        <f t="shared" si="2"/>
        <v>1.23</v>
      </c>
      <c r="U23">
        <f t="shared" si="3"/>
        <v>1.2300000190734863</v>
      </c>
      <c r="V23">
        <f t="shared" si="4"/>
        <v>1</v>
      </c>
      <c r="W23">
        <f t="shared" si="5"/>
        <v>1</v>
      </c>
      <c r="X23">
        <f t="shared" si="6"/>
        <v>1.23</v>
      </c>
      <c r="Y23" s="12">
        <f>vbaDirectDate(A23)</f>
        <v>5.7638888888888892E-2</v>
      </c>
      <c r="Z23" t="b">
        <f t="shared" si="8"/>
        <v>1</v>
      </c>
    </row>
    <row r="24" spans="1:26" x14ac:dyDescent="0.25">
      <c r="A24" s="7">
        <v>5.7638888888888885E-2</v>
      </c>
      <c r="B24" t="str">
        <f>_xll.dnaDescribe(A24)</f>
        <v>Double: 0.0576388888888889</v>
      </c>
      <c r="C24">
        <f>_xll.dnaDirectObject(A24)</f>
        <v>5.7638888888888885E-2</v>
      </c>
      <c r="D24">
        <f t="array" ref="D24">_xll.dnaDirectObject1D(A24)</f>
        <v>5.7638888888888885E-2</v>
      </c>
      <c r="E24">
        <f t="array" ref="E24">_xll.dnaDirectObject2D(A24)</f>
        <v>5.7638888888888885E-2</v>
      </c>
      <c r="F24" t="str">
        <f>_xll.dnaConvertToString(A24)</f>
        <v>0.0576388888888889</v>
      </c>
      <c r="G24">
        <f>_xll.dnaConvertToDouble(A24)</f>
        <v>5.7638888888888885E-2</v>
      </c>
      <c r="H24">
        <f t="array" ref="H24">_xll.dnaDirectDouble1D(A24)</f>
        <v>5.7638888888888885E-2</v>
      </c>
      <c r="I24">
        <f t="array" ref="I24">_xll.dnaDirectDouble2D(A24)</f>
        <v>5.7638888888888885E-2</v>
      </c>
      <c r="J24">
        <f>_xll.dnaConvertToInt16(A24)</f>
        <v>0</v>
      </c>
      <c r="K24">
        <f>_xll.dnaConvertToUInt16(A24)</f>
        <v>0</v>
      </c>
      <c r="L24">
        <f>_xll.dnaConvertToInt32(A24)</f>
        <v>0</v>
      </c>
      <c r="M24">
        <f>_xll.dnaConvertToInt64(A24)</f>
        <v>0</v>
      </c>
      <c r="N24">
        <f>_xll.dnaConvertToDecimal(A24)</f>
        <v>5.7638888888888899E-2</v>
      </c>
      <c r="O24">
        <f>_xll.dnaConvertToDateTime(A24)</f>
        <v>5.7638888888888892E-2</v>
      </c>
      <c r="P24" t="b">
        <f>_xll.dnaConvertToBoolean(A24)</f>
        <v>1</v>
      </c>
      <c r="Q24" t="str">
        <f t="shared" si="19"/>
        <v>Double: 5.76388888888889E-02</v>
      </c>
      <c r="R24">
        <f t="shared" si="0"/>
        <v>5.7638888888888885E-2</v>
      </c>
      <c r="S24" t="str">
        <f t="shared" si="1"/>
        <v>5.76388888888889E-02</v>
      </c>
      <c r="T24">
        <f t="shared" si="2"/>
        <v>5.7638888888888885E-2</v>
      </c>
      <c r="U24">
        <f t="shared" si="3"/>
        <v>5.7638887315988541E-2</v>
      </c>
      <c r="V24">
        <f t="shared" si="4"/>
        <v>0</v>
      </c>
      <c r="W24">
        <f t="shared" si="5"/>
        <v>0</v>
      </c>
      <c r="X24">
        <f t="shared" si="6"/>
        <v>5.7599999999999998E-2</v>
      </c>
      <c r="Y24">
        <f t="shared" si="7"/>
        <v>5.7638888888888885E-2</v>
      </c>
      <c r="Z24" t="b">
        <f t="shared" si="8"/>
        <v>1</v>
      </c>
    </row>
    <row r="25" spans="1:26" x14ac:dyDescent="0.25">
      <c r="A25" s="1">
        <v>0.6</v>
      </c>
      <c r="B25" t="str">
        <f>_xll.dnaDescribe(A25)</f>
        <v>Double: 0.6</v>
      </c>
      <c r="C25">
        <f>_xll.dnaDirectObject(A25)</f>
        <v>0.6</v>
      </c>
      <c r="D25">
        <f t="array" ref="D25">_xll.dnaDirectObject1D(A25)</f>
        <v>0.6</v>
      </c>
      <c r="E25">
        <f t="array" ref="E25">_xll.dnaDirectObject2D(A25)</f>
        <v>0.6</v>
      </c>
      <c r="F25" t="str">
        <f>_xll.dnaConvertToString(A25)</f>
        <v>0.6</v>
      </c>
      <c r="G25">
        <f>_xll.dnaConvertToDouble(A25)</f>
        <v>0.6</v>
      </c>
      <c r="H25">
        <f t="array" ref="H25">_xll.dnaDirectDouble1D(A25)</f>
        <v>0.6</v>
      </c>
      <c r="I25">
        <f t="array" ref="I25">_xll.dnaDirectDouble2D(A25)</f>
        <v>0.6</v>
      </c>
      <c r="J25">
        <f>_xll.dnaConvertToInt16(A25)</f>
        <v>1</v>
      </c>
      <c r="K25">
        <f>_xll.dnaConvertToUInt16(A25)</f>
        <v>1</v>
      </c>
      <c r="L25">
        <f>_xll.dnaConvertToInt32(A25)</f>
        <v>1</v>
      </c>
      <c r="M25">
        <f>_xll.dnaConvertToInt64(A25)</f>
        <v>1</v>
      </c>
      <c r="N25">
        <f>_xll.dnaConvertToDecimal(A25)</f>
        <v>0.6</v>
      </c>
      <c r="O25">
        <f>_xll.dnaConvertToDateTime(A25)</f>
        <v>0.6</v>
      </c>
      <c r="P25" t="b">
        <f>_xll.dnaConvertToBoolean(A25)</f>
        <v>1</v>
      </c>
      <c r="Q25" t="str">
        <f t="shared" si="19"/>
        <v>Double: 0.6</v>
      </c>
      <c r="R25">
        <f t="shared" si="0"/>
        <v>0.6</v>
      </c>
      <c r="S25" t="str">
        <f t="shared" si="1"/>
        <v>0.6</v>
      </c>
      <c r="T25">
        <f t="shared" si="2"/>
        <v>0.6</v>
      </c>
      <c r="U25">
        <f t="shared" si="3"/>
        <v>0.60000002384185791</v>
      </c>
      <c r="V25">
        <f t="shared" si="4"/>
        <v>1</v>
      </c>
      <c r="W25">
        <f t="shared" si="5"/>
        <v>1</v>
      </c>
      <c r="X25">
        <f t="shared" si="6"/>
        <v>0.6</v>
      </c>
      <c r="Y25">
        <f t="shared" si="7"/>
        <v>0.6</v>
      </c>
      <c r="Z25" t="b">
        <f t="shared" si="8"/>
        <v>1</v>
      </c>
    </row>
    <row r="26" spans="1:26" x14ac:dyDescent="0.25">
      <c r="P26"/>
    </row>
    <row r="27" spans="1:26" s="11" customFormat="1" x14ac:dyDescent="0.25">
      <c r="A27" s="10"/>
    </row>
    <row r="28" spans="1:26" x14ac:dyDescent="0.25">
      <c r="B28" t="str">
        <f>_xll.dnaDescribe(A28)</f>
        <v>&lt;&lt;Empty&gt;&gt;</v>
      </c>
      <c r="C28">
        <f>_xll.dnaDirectObject(A28)</f>
        <v>0</v>
      </c>
      <c r="D28">
        <f t="array" ref="D28">_xll.dnaDirectObject1D(A28)</f>
        <v>0</v>
      </c>
      <c r="E28">
        <f t="array" ref="E28">_xll.dnaDirectObject2D(A28)</f>
        <v>0</v>
      </c>
      <c r="F28" t="str">
        <f>_xll.dnaDirectString(A28)</f>
        <v/>
      </c>
      <c r="G28">
        <f>_xll.dnaDirectDouble(A28)</f>
        <v>0</v>
      </c>
      <c r="H28">
        <f t="array" ref="H28">_xll.dnaDirectDouble1D(A28)</f>
        <v>0</v>
      </c>
      <c r="I28">
        <f t="array" ref="I28">_xll.dnaDirectDouble2D(A28)</f>
        <v>0</v>
      </c>
      <c r="J28">
        <f>_xll.dnaDirectInt16(A28)</f>
        <v>0</v>
      </c>
      <c r="K28">
        <f>_xll.dnaDirectUInt16(A28)</f>
        <v>0</v>
      </c>
      <c r="L28">
        <f>_xll.dnaDirectInt32(A28)</f>
        <v>0</v>
      </c>
      <c r="M28">
        <f>_xll.dnaDirectInt64(A28)</f>
        <v>0</v>
      </c>
      <c r="N28">
        <f>_xll.dnaDirectDecimal(A28)</f>
        <v>0</v>
      </c>
      <c r="O28">
        <f>_xll.dnaDirectDateTime(A28)</f>
        <v>0</v>
      </c>
      <c r="P28" t="b">
        <f>_xll.dnaDirectBoolean(A28)</f>
        <v>0</v>
      </c>
    </row>
    <row r="29" spans="1:26" x14ac:dyDescent="0.25">
      <c r="A29" s="1" t="e">
        <f>1/0</f>
        <v>#DIV/0!</v>
      </c>
      <c r="B29" t="str">
        <f>_xll.dnaDescribe(A29)</f>
        <v>ExcelError: ExcelErrorDiv0</v>
      </c>
      <c r="C29" t="e">
        <f>_xll.dnaDirectObject(A29)</f>
        <v>#DIV/0!</v>
      </c>
      <c r="D29" t="e">
        <f t="array" ref="D29">_xll.dnaDirectObject1D(A29)</f>
        <v>#DIV/0!</v>
      </c>
      <c r="E29" t="e">
        <f t="array" ref="E29">_xll.dnaDirectObject2D(A29)</f>
        <v>#DIV/0!</v>
      </c>
      <c r="F29" t="e">
        <f>_xll.dnaDirectString(A29)</f>
        <v>#VALUE!</v>
      </c>
      <c r="G29" t="e">
        <f>_xll.dnaDirectDouble(A29)</f>
        <v>#VALUE!</v>
      </c>
      <c r="H29" t="e">
        <f t="array" ref="H29">_xll.dnaDirectDouble1D(A29)</f>
        <v>#VALUE!</v>
      </c>
      <c r="I29" t="e">
        <f t="array" ref="I29">_xll.dnaDirectDouble2D(A29)</f>
        <v>#VALUE!</v>
      </c>
      <c r="J29" t="e">
        <f>_xll.dnaDirectInt16(A29)</f>
        <v>#VALUE!</v>
      </c>
      <c r="K29" t="e">
        <f>_xll.dnaDirectUInt16(A29)</f>
        <v>#VALUE!</v>
      </c>
      <c r="L29" t="e">
        <f>_xll.dnaDirectInt32(A29)</f>
        <v>#VALUE!</v>
      </c>
      <c r="M29" t="e">
        <f>_xll.dnaDirectInt64(A29)</f>
        <v>#VALUE!</v>
      </c>
      <c r="N29" t="e">
        <f>_xll.dnaDirectDecimal(A29)</f>
        <v>#VALUE!</v>
      </c>
      <c r="O29" t="e">
        <f>_xll.dnaDirectDateTime(A29)</f>
        <v>#VALUE!</v>
      </c>
      <c r="P29" t="e">
        <f>_xll.dnaDirectBoolean(A29)</f>
        <v>#VALUE!</v>
      </c>
    </row>
    <row r="30" spans="1:26" x14ac:dyDescent="0.25">
      <c r="A30" s="1">
        <v>0</v>
      </c>
      <c r="B30" t="str">
        <f>_xll.dnaDescribe(A30)</f>
        <v>Double: 0</v>
      </c>
      <c r="C30">
        <f>_xll.dnaDirectObject(A30)</f>
        <v>0</v>
      </c>
      <c r="D30">
        <f t="array" ref="D30">_xll.dnaDirectObject1D(A30)</f>
        <v>0</v>
      </c>
      <c r="E30">
        <f t="array" ref="E30">_xll.dnaDirectObject2D(A30)</f>
        <v>0</v>
      </c>
      <c r="F30" t="str">
        <f>_xll.dnaDirectString(A30)</f>
        <v>0</v>
      </c>
      <c r="G30">
        <f>_xll.dnaDirectDouble(A30)</f>
        <v>0</v>
      </c>
      <c r="H30">
        <f t="array" ref="H30">_xll.dnaDirectDouble1D(A30)</f>
        <v>0</v>
      </c>
      <c r="I30">
        <f t="array" ref="I30">_xll.dnaDirectDouble2D(A30)</f>
        <v>0</v>
      </c>
      <c r="J30">
        <f>_xll.dnaDirectInt16(A30)</f>
        <v>0</v>
      </c>
      <c r="K30">
        <f>_xll.dnaDirectUInt16(A30)</f>
        <v>0</v>
      </c>
      <c r="L30">
        <f>_xll.dnaDirectInt32(A30)</f>
        <v>0</v>
      </c>
      <c r="M30">
        <f>_xll.dnaDirectInt64(A30)</f>
        <v>0</v>
      </c>
      <c r="N30">
        <f>_xll.dnaDirectDecimal(A30)</f>
        <v>0</v>
      </c>
      <c r="O30">
        <f>_xll.dnaDirectDateTime(A30)</f>
        <v>0</v>
      </c>
      <c r="P30" t="b">
        <f>_xll.dnaDirectBoolean(A30)</f>
        <v>0</v>
      </c>
    </row>
    <row r="31" spans="1:26" x14ac:dyDescent="0.25">
      <c r="A31" s="1">
        <v>1</v>
      </c>
      <c r="B31" t="str">
        <f>_xll.dnaDescribe(A31)</f>
        <v>Double: 1</v>
      </c>
      <c r="C31">
        <f>_xll.dnaDirectObject(A31)</f>
        <v>1</v>
      </c>
      <c r="D31">
        <f t="array" ref="D31">_xll.dnaDirectObject1D(A31)</f>
        <v>1</v>
      </c>
      <c r="E31">
        <f t="array" ref="E31">_xll.dnaDirectObject2D(A31)</f>
        <v>1</v>
      </c>
      <c r="F31" t="str">
        <f>_xll.dnaDirectString(A31)</f>
        <v>1</v>
      </c>
      <c r="G31">
        <f>_xll.dnaDirectDouble(A31)</f>
        <v>1</v>
      </c>
      <c r="H31">
        <f t="array" ref="H31">_xll.dnaDirectDouble1D(A31)</f>
        <v>1</v>
      </c>
      <c r="I31">
        <f t="array" ref="I31">_xll.dnaDirectDouble2D(A31)</f>
        <v>1</v>
      </c>
      <c r="J31">
        <f>_xll.dnaDirectInt16(A31)</f>
        <v>1</v>
      </c>
      <c r="K31">
        <f>_xll.dnaDirectUInt16(A31)</f>
        <v>1</v>
      </c>
      <c r="L31">
        <f>_xll.dnaDirectInt32(A31)</f>
        <v>1</v>
      </c>
      <c r="M31">
        <f>_xll.dnaDirectInt64(A31)</f>
        <v>1</v>
      </c>
      <c r="N31">
        <f>_xll.dnaDirectDecimal(A31)</f>
        <v>1</v>
      </c>
      <c r="O31">
        <f>_xll.dnaDirectDateTime(A31)</f>
        <v>1</v>
      </c>
      <c r="P31" t="b">
        <f>_xll.dnaDirectBoolean(A31)</f>
        <v>1</v>
      </c>
    </row>
    <row r="32" spans="1:26" x14ac:dyDescent="0.25">
      <c r="A32" s="1">
        <v>0.1</v>
      </c>
      <c r="B32" t="str">
        <f>_xll.dnaDescribe(A32)</f>
        <v>Double: 0.1</v>
      </c>
      <c r="C32">
        <f>_xll.dnaDirectObject(A32)</f>
        <v>0.1</v>
      </c>
      <c r="D32">
        <f t="array" ref="D32">_xll.dnaDirectObject1D(A32)</f>
        <v>0.1</v>
      </c>
      <c r="E32">
        <f t="array" ref="E32">_xll.dnaDirectObject2D(A32)</f>
        <v>0.1</v>
      </c>
      <c r="F32" t="str">
        <f>_xll.dnaDirectString(A32)</f>
        <v>0.1</v>
      </c>
      <c r="G32">
        <f>_xll.dnaDirectDouble(A32)</f>
        <v>0.1</v>
      </c>
      <c r="H32">
        <f t="array" ref="H32">_xll.dnaDirectDouble1D(A32)</f>
        <v>0.1</v>
      </c>
      <c r="I32">
        <f t="array" ref="I32">_xll.dnaDirectDouble2D(A32)</f>
        <v>0.1</v>
      </c>
      <c r="J32">
        <f>_xll.dnaDirectInt16(A32)</f>
        <v>0</v>
      </c>
      <c r="K32">
        <f>_xll.dnaDirectUInt16(A32)</f>
        <v>0</v>
      </c>
      <c r="L32">
        <f>_xll.dnaDirectInt32(A32)</f>
        <v>0</v>
      </c>
      <c r="M32">
        <f>_xll.dnaDirectInt64(A32)</f>
        <v>0</v>
      </c>
      <c r="N32">
        <f>_xll.dnaDirectDecimal(A32)</f>
        <v>0.1</v>
      </c>
      <c r="O32">
        <f>_xll.dnaDirectDateTime(A32)</f>
        <v>0.1</v>
      </c>
      <c r="P32" t="b">
        <f>_xll.dnaDirectBoolean(A32)</f>
        <v>1</v>
      </c>
    </row>
    <row r="33" spans="1:16" x14ac:dyDescent="0.25">
      <c r="A33" s="1">
        <v>1.5</v>
      </c>
      <c r="B33" t="str">
        <f>_xll.dnaDescribe(A33)</f>
        <v>Double: 1.5</v>
      </c>
      <c r="C33">
        <f>_xll.dnaDirectObject(A33)</f>
        <v>1.5</v>
      </c>
      <c r="D33">
        <f t="array" ref="D33">_xll.dnaDirectObject1D(A33)</f>
        <v>1.5</v>
      </c>
      <c r="E33">
        <f t="array" ref="E33">_xll.dnaDirectObject2D(A33)</f>
        <v>1.5</v>
      </c>
      <c r="F33" t="str">
        <f>_xll.dnaDirectString(A33)</f>
        <v>1.5</v>
      </c>
      <c r="G33">
        <f>_xll.dnaDirectDouble(A33)</f>
        <v>1.5</v>
      </c>
      <c r="H33">
        <f t="array" ref="H33">_xll.dnaDirectDouble1D(A33)</f>
        <v>1.5</v>
      </c>
      <c r="I33">
        <f t="array" ref="I33">_xll.dnaDirectDouble2D(A33)</f>
        <v>1.5</v>
      </c>
      <c r="J33">
        <f>_xll.dnaDirectInt16(A33)</f>
        <v>2</v>
      </c>
      <c r="K33">
        <f>_xll.dnaDirectUInt16(A33)</f>
        <v>2</v>
      </c>
      <c r="L33">
        <f>_xll.dnaDirectInt32(A33)</f>
        <v>2</v>
      </c>
      <c r="M33">
        <f>_xll.dnaDirectInt64(A33)</f>
        <v>2</v>
      </c>
      <c r="N33">
        <f>_xll.dnaDirectDecimal(A33)</f>
        <v>1.5</v>
      </c>
      <c r="O33">
        <f>_xll.dnaDirectDateTime(A33)</f>
        <v>1.5</v>
      </c>
      <c r="P33" t="b">
        <f>_xll.dnaDirectBoolean(A33)</f>
        <v>1</v>
      </c>
    </row>
    <row r="34" spans="1:16" x14ac:dyDescent="0.25">
      <c r="A34" s="1">
        <v>2.5</v>
      </c>
      <c r="B34" t="str">
        <f>_xll.dnaDescribe(A34)</f>
        <v>Double: 2.5</v>
      </c>
      <c r="C34">
        <f>_xll.dnaDirectObject(A34)</f>
        <v>2.5</v>
      </c>
      <c r="D34">
        <f t="array" ref="D34">_xll.dnaDirectObject1D(A34)</f>
        <v>2.5</v>
      </c>
      <c r="E34">
        <f t="array" ref="E34">_xll.dnaDirectObject2D(A34)</f>
        <v>2.5</v>
      </c>
      <c r="F34" t="str">
        <f>_xll.dnaDirectString(A34)</f>
        <v>2.5</v>
      </c>
      <c r="G34">
        <f>_xll.dnaDirectDouble(A34)</f>
        <v>2.5</v>
      </c>
      <c r="H34">
        <f t="array" ref="H34">_xll.dnaDirectDouble1D(A34)</f>
        <v>2.5</v>
      </c>
      <c r="I34">
        <f t="array" ref="I34">_xll.dnaDirectDouble2D(A34)</f>
        <v>2.5</v>
      </c>
      <c r="J34">
        <f>_xll.dnaDirectInt16(A34)</f>
        <v>2</v>
      </c>
      <c r="K34">
        <f>_xll.dnaDirectUInt16(A34)</f>
        <v>2</v>
      </c>
      <c r="L34">
        <f>_xll.dnaDirectInt32(A34)</f>
        <v>2</v>
      </c>
      <c r="M34">
        <f>_xll.dnaDirectInt64(A34)</f>
        <v>2</v>
      </c>
      <c r="N34">
        <f>_xll.dnaDirectDecimal(A34)</f>
        <v>2.5</v>
      </c>
      <c r="O34">
        <f>_xll.dnaDirectDateTime(A34)</f>
        <v>2.5</v>
      </c>
      <c r="P34" t="b">
        <f>_xll.dnaDirectBoolean(A34)</f>
        <v>1</v>
      </c>
    </row>
    <row r="35" spans="1:16" x14ac:dyDescent="0.25">
      <c r="A35" s="1">
        <v>-1.5</v>
      </c>
      <c r="B35" t="str">
        <f>_xll.dnaDescribe(A35)</f>
        <v>Double: -1.5</v>
      </c>
      <c r="C35">
        <f>_xll.dnaDirectObject(A35)</f>
        <v>-1.5</v>
      </c>
      <c r="D35">
        <f t="array" ref="D35">_xll.dnaDirectObject1D(A35)</f>
        <v>-1.5</v>
      </c>
      <c r="E35">
        <f t="array" ref="E35">_xll.dnaDirectObject2D(A35)</f>
        <v>-1.5</v>
      </c>
      <c r="F35" t="str">
        <f>_xll.dnaDirectString(A35)</f>
        <v>-1.5</v>
      </c>
      <c r="G35">
        <f>_xll.dnaDirectDouble(A35)</f>
        <v>-1.5</v>
      </c>
      <c r="H35">
        <f t="array" ref="H35">_xll.dnaDirectDouble1D(A35)</f>
        <v>-1.5</v>
      </c>
      <c r="I35">
        <f t="array" ref="I35">_xll.dnaDirectDouble2D(A35)</f>
        <v>-1.5</v>
      </c>
      <c r="J35">
        <f>_xll.dnaDirectInt16(A35)</f>
        <v>-2</v>
      </c>
      <c r="K35" t="e">
        <f>_xll.dnaDirectUInt16(A35)</f>
        <v>#VALUE!</v>
      </c>
      <c r="L35">
        <f>_xll.dnaDirectInt32(A35)</f>
        <v>-2</v>
      </c>
      <c r="M35">
        <f>_xll.dnaDirectInt64(A35)</f>
        <v>-2</v>
      </c>
      <c r="N35">
        <f>_xll.dnaDirectDecimal(A35)</f>
        <v>-1.5</v>
      </c>
      <c r="O35">
        <f>_xll.dnaDirectDateTime(A35)</f>
        <v>-1.5</v>
      </c>
      <c r="P35" t="b">
        <f>_xll.dnaDirectBoolean(A35)</f>
        <v>1</v>
      </c>
    </row>
    <row r="36" spans="1:16" x14ac:dyDescent="0.25">
      <c r="A36" s="1">
        <v>-2.5</v>
      </c>
      <c r="B36" t="str">
        <f>_xll.dnaDescribe(A36)</f>
        <v>Double: -2.5</v>
      </c>
      <c r="C36">
        <f>_xll.dnaDirectObject(A36)</f>
        <v>-2.5</v>
      </c>
      <c r="D36">
        <f t="array" ref="D36">_xll.dnaDirectObject1D(A36)</f>
        <v>-2.5</v>
      </c>
      <c r="E36">
        <f t="array" ref="E36">_xll.dnaDirectObject2D(A36)</f>
        <v>-2.5</v>
      </c>
      <c r="F36" t="str">
        <f>_xll.dnaDirectString(A36)</f>
        <v>-2.5</v>
      </c>
      <c r="G36">
        <f>_xll.dnaDirectDouble(A36)</f>
        <v>-2.5</v>
      </c>
      <c r="H36">
        <f t="array" ref="H36">_xll.dnaDirectDouble1D(A36)</f>
        <v>-2.5</v>
      </c>
      <c r="I36">
        <f t="array" ref="I36">_xll.dnaDirectDouble2D(A36)</f>
        <v>-2.5</v>
      </c>
      <c r="J36">
        <f>_xll.dnaDirectInt16(A36)</f>
        <v>-2</v>
      </c>
      <c r="K36" t="e">
        <f>_xll.dnaDirectUInt16(A36)</f>
        <v>#VALUE!</v>
      </c>
      <c r="L36">
        <f>_xll.dnaDirectInt32(A36)</f>
        <v>-2</v>
      </c>
      <c r="M36">
        <f>_xll.dnaDirectInt64(A36)</f>
        <v>-2</v>
      </c>
      <c r="N36">
        <f>_xll.dnaDirectDecimal(A36)</f>
        <v>-2.5</v>
      </c>
      <c r="O36">
        <f>_xll.dnaDirectDateTime(A36)</f>
        <v>-2.5</v>
      </c>
      <c r="P36" t="b">
        <f>_xll.dnaDirectBoolean(A36)</f>
        <v>1</v>
      </c>
    </row>
    <row r="37" spans="1:16" x14ac:dyDescent="0.25">
      <c r="A37" s="1">
        <v>35000</v>
      </c>
      <c r="B37" t="str">
        <f>_xll.dnaDescribe(A37)</f>
        <v>Double: 35000</v>
      </c>
      <c r="C37">
        <f>_xll.dnaDirectObject(A37)</f>
        <v>35000</v>
      </c>
      <c r="D37">
        <f t="array" ref="D37">_xll.dnaDirectObject1D(A37)</f>
        <v>35000</v>
      </c>
      <c r="E37">
        <f t="array" ref="E37">_xll.dnaDirectObject2D(A37)</f>
        <v>35000</v>
      </c>
      <c r="F37" t="str">
        <f>_xll.dnaDirectString(A37)</f>
        <v>35000</v>
      </c>
      <c r="G37">
        <f>_xll.dnaDirectDouble(A37)</f>
        <v>35000</v>
      </c>
      <c r="H37">
        <f t="array" ref="H37">_xll.dnaDirectDouble1D(A37)</f>
        <v>35000</v>
      </c>
      <c r="I37">
        <f t="array" ref="I37">_xll.dnaDirectDouble2D(A37)</f>
        <v>35000</v>
      </c>
      <c r="J37" t="e">
        <f>_xll.dnaDirectInt16(A37)</f>
        <v>#VALUE!</v>
      </c>
      <c r="K37">
        <f>_xll.dnaDirectUInt16(A37)</f>
        <v>35000</v>
      </c>
      <c r="L37">
        <f>_xll.dnaDirectInt32(A37)</f>
        <v>35000</v>
      </c>
      <c r="M37">
        <f>_xll.dnaDirectInt64(A37)</f>
        <v>35000</v>
      </c>
      <c r="N37">
        <f>_xll.dnaDirectDecimal(A37)</f>
        <v>35000</v>
      </c>
      <c r="O37">
        <f>_xll.dnaDirectDateTime(A37)</f>
        <v>35000</v>
      </c>
      <c r="P37" t="b">
        <f>_xll.dnaDirectBoolean(A37)</f>
        <v>1</v>
      </c>
    </row>
    <row r="38" spans="1:16" x14ac:dyDescent="0.25">
      <c r="A38" s="1" t="b">
        <v>1</v>
      </c>
      <c r="B38" t="str">
        <f>_xll.dnaDescribe(A38)</f>
        <v>Boolean: True</v>
      </c>
      <c r="C38" t="b">
        <f>_xll.dnaDirectObject(A38)</f>
        <v>1</v>
      </c>
      <c r="D38" t="b">
        <f t="array" ref="D38">_xll.dnaDirectObject1D(A38)</f>
        <v>1</v>
      </c>
      <c r="E38" t="b">
        <f t="array" ref="E38">_xll.dnaDirectObject2D(A38)</f>
        <v>1</v>
      </c>
      <c r="F38" t="str">
        <f>_xll.dnaDirectString(A38)</f>
        <v>TRUE</v>
      </c>
      <c r="G38">
        <f>_xll.dnaDirectDouble(A38)</f>
        <v>1</v>
      </c>
      <c r="H38">
        <f t="array" ref="H38">_xll.dnaDirectDouble1D(A38)</f>
        <v>1</v>
      </c>
      <c r="I38">
        <f t="array" ref="I38">_xll.dnaDirectDouble2D(A38)</f>
        <v>1</v>
      </c>
      <c r="J38">
        <f>_xll.dnaDirectInt16(A38)</f>
        <v>1</v>
      </c>
      <c r="K38">
        <f>_xll.dnaDirectUInt16(A38)</f>
        <v>1</v>
      </c>
      <c r="L38">
        <f>_xll.dnaDirectInt32(A38)</f>
        <v>1</v>
      </c>
      <c r="M38">
        <f>_xll.dnaDirectInt64(A38)</f>
        <v>1</v>
      </c>
      <c r="N38">
        <f>_xll.dnaDirectDecimal(A38)</f>
        <v>1</v>
      </c>
      <c r="O38">
        <f>_xll.dnaDirectDateTime(A38)</f>
        <v>1</v>
      </c>
      <c r="P38" t="b">
        <f>_xll.dnaDirectBoolean(A38)</f>
        <v>1</v>
      </c>
    </row>
    <row r="39" spans="1:16" x14ac:dyDescent="0.25">
      <c r="A39" s="1" t="b">
        <v>0</v>
      </c>
      <c r="B39" t="str">
        <f>_xll.dnaDescribe(A39)</f>
        <v>Boolean: False</v>
      </c>
      <c r="C39" t="b">
        <f>_xll.dnaDirectObject(A39)</f>
        <v>0</v>
      </c>
      <c r="D39" t="b">
        <f t="array" ref="D39">_xll.dnaDirectObject1D(A39)</f>
        <v>0</v>
      </c>
      <c r="E39" t="b">
        <f t="array" ref="E39">_xll.dnaDirectObject2D(A39)</f>
        <v>0</v>
      </c>
      <c r="F39" t="str">
        <f>_xll.dnaDirectString(A39)</f>
        <v>FALSE</v>
      </c>
      <c r="G39">
        <f>_xll.dnaDirectDouble(A39)</f>
        <v>0</v>
      </c>
      <c r="H39">
        <f t="array" ref="H39">_xll.dnaDirectDouble1D(A39)</f>
        <v>0</v>
      </c>
      <c r="I39">
        <f t="array" ref="I39">_xll.dnaDirectDouble2D(A39)</f>
        <v>0</v>
      </c>
      <c r="J39">
        <f>_xll.dnaDirectInt16(A39)</f>
        <v>0</v>
      </c>
      <c r="K39">
        <f>_xll.dnaDirectUInt16(A39)</f>
        <v>0</v>
      </c>
      <c r="L39">
        <f>_xll.dnaDirectInt32(A39)</f>
        <v>0</v>
      </c>
      <c r="M39">
        <f>_xll.dnaDirectInt64(A39)</f>
        <v>0</v>
      </c>
      <c r="N39">
        <f>_xll.dnaDirectDecimal(A39)</f>
        <v>0</v>
      </c>
      <c r="O39">
        <f>_xll.dnaDirectDateTime(A39)</f>
        <v>0</v>
      </c>
      <c r="P39" t="b">
        <f>_xll.dnaDirectBoolean(A39)</f>
        <v>0</v>
      </c>
    </row>
    <row r="40" spans="1:16" x14ac:dyDescent="0.25">
      <c r="A40" s="6">
        <v>41529</v>
      </c>
      <c r="B40" t="str">
        <f>_xll.dnaDescribe(A40)</f>
        <v>Double: 41529</v>
      </c>
      <c r="C40">
        <f>_xll.dnaDirectObject(A40)</f>
        <v>41529</v>
      </c>
      <c r="D40">
        <f t="array" ref="D40">_xll.dnaDirectObject1D(A40)</f>
        <v>41529</v>
      </c>
      <c r="E40">
        <f t="array" ref="E40">_xll.dnaDirectObject2D(A40)</f>
        <v>41529</v>
      </c>
      <c r="F40" t="str">
        <f>_xll.dnaDirectString(A40)</f>
        <v>41529</v>
      </c>
      <c r="G40">
        <f>_xll.dnaDirectDouble(A40)</f>
        <v>41529</v>
      </c>
      <c r="H40">
        <f t="array" ref="H40">_xll.dnaDirectDouble1D(A40)</f>
        <v>41529</v>
      </c>
      <c r="I40">
        <f t="array" ref="I40">_xll.dnaDirectDouble2D(A40)</f>
        <v>41529</v>
      </c>
      <c r="J40" t="e">
        <f>_xll.dnaDirectInt16(A40)</f>
        <v>#VALUE!</v>
      </c>
      <c r="K40">
        <f>_xll.dnaDirectUInt16(A40)</f>
        <v>41529</v>
      </c>
      <c r="L40">
        <f>_xll.dnaDirectInt32(A40)</f>
        <v>41529</v>
      </c>
      <c r="M40">
        <f>_xll.dnaDirectInt64(A40)</f>
        <v>41529</v>
      </c>
      <c r="N40">
        <f>_xll.dnaDirectDecimal(A40)</f>
        <v>41529</v>
      </c>
      <c r="O40">
        <f>_xll.dnaDirectDateTime(A40)</f>
        <v>41529</v>
      </c>
      <c r="P40" t="b">
        <f>_xll.dnaDirectBoolean(A40)</f>
        <v>1</v>
      </c>
    </row>
    <row r="41" spans="1:16" x14ac:dyDescent="0.25">
      <c r="A41" s="7">
        <v>0.52152777777777781</v>
      </c>
      <c r="B41" t="str">
        <f>_xll.dnaDescribe(A41)</f>
        <v>Double: 0.521527777777778</v>
      </c>
      <c r="C41">
        <f>_xll.dnaDirectObject(A41)</f>
        <v>0.52152777777777781</v>
      </c>
      <c r="D41">
        <f t="array" ref="D41">_xll.dnaDirectObject1D(A41)</f>
        <v>0.52152777777777781</v>
      </c>
      <c r="E41">
        <f t="array" ref="E41">_xll.dnaDirectObject2D(A41)</f>
        <v>0.52152777777777781</v>
      </c>
      <c r="F41" t="str">
        <f>_xll.dnaDirectString(A41)</f>
        <v>0.521527777777778</v>
      </c>
      <c r="G41">
        <f>_xll.dnaDirectDouble(A41)</f>
        <v>0.52152777777777781</v>
      </c>
      <c r="H41">
        <f t="array" ref="H41">_xll.dnaDirectDouble1D(A41)</f>
        <v>0.52152777777777781</v>
      </c>
      <c r="I41">
        <f t="array" ref="I41">_xll.dnaDirectDouble2D(A41)</f>
        <v>0.52152777777777781</v>
      </c>
      <c r="J41">
        <f>_xll.dnaDirectInt16(A41)</f>
        <v>1</v>
      </c>
      <c r="K41">
        <f>_xll.dnaDirectUInt16(A41)</f>
        <v>1</v>
      </c>
      <c r="L41">
        <f>_xll.dnaDirectInt32(A41)</f>
        <v>1</v>
      </c>
      <c r="M41">
        <f>_xll.dnaDirectInt64(A41)</f>
        <v>1</v>
      </c>
      <c r="N41">
        <f>_xll.dnaDirectDecimal(A41)</f>
        <v>0.52152777777777803</v>
      </c>
      <c r="O41">
        <f>_xll.dnaDirectDateTime(A41)</f>
        <v>0.52152777777777781</v>
      </c>
      <c r="P41" t="b">
        <f>_xll.dnaDirectBoolean(A41)</f>
        <v>1</v>
      </c>
    </row>
    <row r="42" spans="1:16" x14ac:dyDescent="0.25">
      <c r="A42" s="1" t="e">
        <f>NA()</f>
        <v>#N/A</v>
      </c>
      <c r="B42" t="str">
        <f>_xll.dnaDescribe(A42)</f>
        <v>ExcelError: ExcelErrorNA</v>
      </c>
      <c r="C42" t="e">
        <f>_xll.dnaDirectObject(A42)</f>
        <v>#N/A</v>
      </c>
      <c r="D42" t="e">
        <f t="array" ref="D42">_xll.dnaDirectObject1D(A42)</f>
        <v>#N/A</v>
      </c>
      <c r="E42" t="e">
        <f t="array" ref="E42">_xll.dnaDirectObject2D(A42)</f>
        <v>#N/A</v>
      </c>
      <c r="F42" t="e">
        <f>_xll.dnaDirectString(A42)</f>
        <v>#VALUE!</v>
      </c>
      <c r="G42" t="e">
        <f>_xll.dnaDirectDouble(A42)</f>
        <v>#VALUE!</v>
      </c>
      <c r="H42" t="e">
        <f t="array" ref="H42">_xll.dnaDirectDouble1D(A42)</f>
        <v>#VALUE!</v>
      </c>
      <c r="I42" t="e">
        <f t="array" ref="I42">_xll.dnaDirectDouble2D(A42)</f>
        <v>#VALUE!</v>
      </c>
      <c r="J42" t="e">
        <f>_xll.dnaDirectInt16(A42)</f>
        <v>#VALUE!</v>
      </c>
      <c r="K42" t="e">
        <f>_xll.dnaDirectUInt16(A42)</f>
        <v>#VALUE!</v>
      </c>
      <c r="L42" t="e">
        <f>_xll.dnaDirectInt32(A42)</f>
        <v>#VALUE!</v>
      </c>
      <c r="M42" t="e">
        <f>_xll.dnaDirectInt64(A42)</f>
        <v>#VALUE!</v>
      </c>
      <c r="N42" t="e">
        <f>_xll.dnaDirectDecimal(A42)</f>
        <v>#VALUE!</v>
      </c>
      <c r="O42" t="e">
        <f>_xll.dnaDirectDateTime(A42)</f>
        <v>#VALUE!</v>
      </c>
      <c r="P42" t="e">
        <f>_xll.dnaDirectBoolean(A42)</f>
        <v>#VALUE!</v>
      </c>
    </row>
    <row r="43" spans="1:16" x14ac:dyDescent="0.25">
      <c r="A43" s="1" t="e">
        <f>ASIN(100)</f>
        <v>#NUM!</v>
      </c>
      <c r="B43" t="str">
        <f>_xll.dnaDescribe(A43)</f>
        <v>ExcelError: ExcelErrorNum</v>
      </c>
      <c r="C43" t="e">
        <f>_xll.dnaDirectObject(A43)</f>
        <v>#NUM!</v>
      </c>
      <c r="D43" t="e">
        <f t="array" ref="D43">_xll.dnaDirectObject1D(A43)</f>
        <v>#NUM!</v>
      </c>
      <c r="E43" t="e">
        <f t="array" ref="E43">_xll.dnaDirectObject2D(A43)</f>
        <v>#NUM!</v>
      </c>
      <c r="F43" t="e">
        <f>_xll.dnaDirectString(A43)</f>
        <v>#VALUE!</v>
      </c>
      <c r="G43" t="e">
        <f>_xll.dnaDirectDouble(A43)</f>
        <v>#VALUE!</v>
      </c>
      <c r="H43" t="e">
        <f t="array" ref="H43">_xll.dnaDirectDouble1D(A43)</f>
        <v>#VALUE!</v>
      </c>
      <c r="I43" t="e">
        <f t="array" ref="I43">_xll.dnaDirectDouble2D(A43)</f>
        <v>#VALUE!</v>
      </c>
      <c r="J43" t="e">
        <f>_xll.dnaDirectInt16(A43)</f>
        <v>#VALUE!</v>
      </c>
      <c r="K43" t="e">
        <f>_xll.dnaDirectUInt16(A43)</f>
        <v>#VALUE!</v>
      </c>
      <c r="L43" t="e">
        <f>_xll.dnaDirectInt32(A43)</f>
        <v>#VALUE!</v>
      </c>
      <c r="M43" t="e">
        <f>_xll.dnaDirectInt64(A43)</f>
        <v>#VALUE!</v>
      </c>
      <c r="N43" t="e">
        <f>_xll.dnaDirectDecimal(A43)</f>
        <v>#VALUE!</v>
      </c>
      <c r="O43" t="e">
        <f>_xll.dnaDirectDateTime(A43)</f>
        <v>#VALUE!</v>
      </c>
      <c r="P43" t="e">
        <f>_xll.dnaDirectBoolean(A43)</f>
        <v>#VALUE!</v>
      </c>
    </row>
    <row r="44" spans="1:16" x14ac:dyDescent="0.25">
      <c r="A44" s="1" t="e">
        <f>_xll.dnaDirectBoolean("asd")</f>
        <v>#VALUE!</v>
      </c>
      <c r="B44" t="str">
        <f>_xll.dnaDescribe(A44)</f>
        <v>ExcelError: ExcelErrorValue</v>
      </c>
      <c r="C44" t="e">
        <f>_xll.dnaDirectObject(A44)</f>
        <v>#VALUE!</v>
      </c>
      <c r="D44" t="e">
        <f t="array" ref="D44">_xll.dnaDirectObject1D(A44)</f>
        <v>#VALUE!</v>
      </c>
      <c r="E44" t="e">
        <f t="array" ref="E44">_xll.dnaDirectObject2D(A44)</f>
        <v>#VALUE!</v>
      </c>
      <c r="F44" t="e">
        <f>_xll.dnaDirectString(A44)</f>
        <v>#VALUE!</v>
      </c>
      <c r="G44" t="e">
        <f>_xll.dnaDirectDouble(A44)</f>
        <v>#VALUE!</v>
      </c>
      <c r="H44" t="e">
        <f t="array" ref="H44">_xll.dnaDirectDouble1D(A44)</f>
        <v>#VALUE!</v>
      </c>
      <c r="I44" t="e">
        <f t="array" ref="I44">_xll.dnaDirectDouble2D(A44)</f>
        <v>#VALUE!</v>
      </c>
      <c r="J44" t="e">
        <f>_xll.dnaDirectInt16(A44)</f>
        <v>#VALUE!</v>
      </c>
      <c r="K44" t="e">
        <f>_xll.dnaDirectUInt16(A44)</f>
        <v>#VALUE!</v>
      </c>
      <c r="L44" t="e">
        <f>_xll.dnaDirectInt32(A44)</f>
        <v>#VALUE!</v>
      </c>
      <c r="M44" t="e">
        <f>_xll.dnaDirectInt64(A44)</f>
        <v>#VALUE!</v>
      </c>
      <c r="N44" t="e">
        <f>_xll.dnaDirectDecimal(A44)</f>
        <v>#VALUE!</v>
      </c>
      <c r="O44" t="e">
        <f>_xll.dnaDirectDateTime(A44)</f>
        <v>#VALUE!</v>
      </c>
      <c r="P44" t="e">
        <f>_xll.dnaDirectBoolean(A44)</f>
        <v>#VALUE!</v>
      </c>
    </row>
    <row r="45" spans="1:16" x14ac:dyDescent="0.25">
      <c r="A45" s="1" t="e">
        <f ca="1">asd()</f>
        <v>#NAME?</v>
      </c>
      <c r="B45" t="str">
        <f ca="1">_xll.dnaDescribe(A45)</f>
        <v>ExcelError: ExcelErrorName</v>
      </c>
      <c r="C45" t="e">
        <f ca="1">_xll.dnaDirectObject(A45)</f>
        <v>#NAME?</v>
      </c>
      <c r="D45" t="e">
        <f t="array" aca="1" ref="D45" ca="1">_xll.dnaDirectObject1D(A45)</f>
        <v>#NAME?</v>
      </c>
      <c r="E45" t="e">
        <f t="array" aca="1" ref="E45" ca="1">_xll.dnaDirectObject2D(A45)</f>
        <v>#NAME?</v>
      </c>
      <c r="F45" t="e">
        <f ca="1">_xll.dnaDirectString(A45)</f>
        <v>#VALUE!</v>
      </c>
      <c r="G45" t="e">
        <f ca="1">_xll.dnaDirectDouble(A45)</f>
        <v>#VALUE!</v>
      </c>
      <c r="H45" t="e">
        <f t="array" aca="1" ref="H45" ca="1">_xll.dnaDirectDouble1D(A45)</f>
        <v>#VALUE!</v>
      </c>
      <c r="I45" t="e">
        <f t="array" aca="1" ref="I45" ca="1">_xll.dnaDirectDouble2D(A45)</f>
        <v>#VALUE!</v>
      </c>
      <c r="J45" t="e">
        <f ca="1">_xll.dnaDirectInt16(A45)</f>
        <v>#VALUE!</v>
      </c>
      <c r="K45" t="e">
        <f ca="1">_xll.dnaDirectUInt16(A45)</f>
        <v>#VALUE!</v>
      </c>
      <c r="L45" t="e">
        <f ca="1">_xll.dnaDirectInt32(A45)</f>
        <v>#VALUE!</v>
      </c>
      <c r="M45" t="e">
        <f ca="1">_xll.dnaDirectInt64(A45)</f>
        <v>#VALUE!</v>
      </c>
      <c r="N45" t="e">
        <f ca="1">_xll.dnaDirectDecimal(A45)</f>
        <v>#VALUE!</v>
      </c>
      <c r="O45" t="e">
        <f ca="1">_xll.dnaDirectDateTime(A45)</f>
        <v>#VALUE!</v>
      </c>
      <c r="P45" t="e">
        <f ca="1">_xll.dnaDirectBoolean(A45)</f>
        <v>#VALUE!</v>
      </c>
    </row>
    <row r="46" spans="1:16" x14ac:dyDescent="0.25">
      <c r="A46" s="1" t="s">
        <v>22</v>
      </c>
      <c r="B46" t="str">
        <f>_xll.dnaDescribe(A46)</f>
        <v>String: 33 Sept 2013</v>
      </c>
      <c r="C46" t="str">
        <f>_xll.dnaDirectObject(A46)</f>
        <v>33 Sept 2013</v>
      </c>
      <c r="D46" t="str">
        <f t="array" ref="D46">_xll.dnaDirectObject1D(A46)</f>
        <v>33 Sept 2013</v>
      </c>
      <c r="E46" t="str">
        <f t="array" ref="E46">_xll.dnaDirectObject2D(A46)</f>
        <v>33 Sept 2013</v>
      </c>
      <c r="F46" t="str">
        <f>_xll.dnaDirectString(A46)</f>
        <v>33 Sept 2013</v>
      </c>
      <c r="G46" t="e">
        <f>_xll.dnaDirectDouble(A46)</f>
        <v>#VALUE!</v>
      </c>
      <c r="H46" t="e">
        <f t="array" ref="H46">_xll.dnaDirectDouble1D(A46)</f>
        <v>#VALUE!</v>
      </c>
      <c r="I46" t="e">
        <f t="array" ref="I46">_xll.dnaDirectDouble2D(A46)</f>
        <v>#VALUE!</v>
      </c>
      <c r="J46" t="e">
        <f>_xll.dnaDirectInt16(A46)</f>
        <v>#VALUE!</v>
      </c>
      <c r="K46" t="e">
        <f>_xll.dnaDirectUInt16(A46)</f>
        <v>#VALUE!</v>
      </c>
      <c r="L46" t="e">
        <f>_xll.dnaDirectInt32(A46)</f>
        <v>#VALUE!</v>
      </c>
      <c r="M46" t="e">
        <f>_xll.dnaDirectInt64(A46)</f>
        <v>#VALUE!</v>
      </c>
      <c r="N46" t="e">
        <f>_xll.dnaDirectDecimal(A46)</f>
        <v>#VALUE!</v>
      </c>
      <c r="O46" t="e">
        <f>_xll.dnaDirectDateTime(A46)</f>
        <v>#VALUE!</v>
      </c>
      <c r="P46" t="e">
        <f>_xll.dnaDirectBoolean(A46)</f>
        <v>#VALUE!</v>
      </c>
    </row>
    <row r="47" spans="1:16" x14ac:dyDescent="0.25">
      <c r="A47" s="8">
        <v>9.9999999999999997E+199</v>
      </c>
      <c r="B47" t="str">
        <f>_xll.dnaDescribe(A47)</f>
        <v>Double: 1E+200</v>
      </c>
      <c r="C47">
        <f>_xll.dnaDirectObject(A47)</f>
        <v>9.9999999999999997E+199</v>
      </c>
      <c r="D47">
        <f t="array" ref="D47">_xll.dnaDirectObject1D(A47)</f>
        <v>9.9999999999999997E+199</v>
      </c>
      <c r="E47">
        <f t="array" ref="E47">_xll.dnaDirectObject2D(A47)</f>
        <v>9.9999999999999997E+199</v>
      </c>
      <c r="F47" t="str">
        <f>_xll.dnaDirectString(A47)</f>
        <v>1E+200</v>
      </c>
      <c r="G47">
        <f>_xll.dnaDirectDouble(A47)</f>
        <v>9.9999999999999997E+199</v>
      </c>
      <c r="H47">
        <f t="array" ref="H47">_xll.dnaDirectDouble1D(A47)</f>
        <v>9.9999999999999997E+199</v>
      </c>
      <c r="I47">
        <f t="array" ref="I47">_xll.dnaDirectDouble2D(A47)</f>
        <v>9.9999999999999997E+199</v>
      </c>
      <c r="J47" t="e">
        <f>_xll.dnaDirectInt16(A47)</f>
        <v>#VALUE!</v>
      </c>
      <c r="K47" t="e">
        <f>_xll.dnaDirectUInt16(A47)</f>
        <v>#VALUE!</v>
      </c>
      <c r="L47" t="e">
        <f>_xll.dnaDirectInt32(A47)</f>
        <v>#VALUE!</v>
      </c>
      <c r="M47" t="e">
        <f>_xll.dnaDirectInt64(A47)</f>
        <v>#VALUE!</v>
      </c>
      <c r="N47" t="e">
        <f>_xll.dnaDirectDecimal(A47)</f>
        <v>#VALUE!</v>
      </c>
      <c r="O47" t="e">
        <f>_xll.dnaDirectDateTime(A47)</f>
        <v>#VALUE!</v>
      </c>
      <c r="P47" t="b">
        <f>_xll.dnaDirectBoolean(A47)</f>
        <v>1</v>
      </c>
    </row>
    <row r="48" spans="1:16" x14ac:dyDescent="0.25">
      <c r="A48" s="9" t="s">
        <v>23</v>
      </c>
      <c r="B48" t="str">
        <f>_xll.dnaDescribe(A48)</f>
        <v>String: 1.23</v>
      </c>
      <c r="C48" t="str">
        <f>_xll.dnaDirectObject(A48)</f>
        <v>1.23</v>
      </c>
      <c r="D48" t="str">
        <f t="array" ref="D48">_xll.dnaDirectObject1D(A48)</f>
        <v>1.23</v>
      </c>
      <c r="E48" t="str">
        <f t="array" ref="E48">_xll.dnaDirectObject2D(A48)</f>
        <v>1.23</v>
      </c>
      <c r="F48" t="str">
        <f>_xll.dnaDirectString(A48)</f>
        <v>1.23</v>
      </c>
      <c r="G48">
        <f>_xll.dnaDirectDouble(A48)</f>
        <v>1.23</v>
      </c>
      <c r="H48">
        <f t="array" ref="H48">_xll.dnaDirectDouble1D(A48)</f>
        <v>1.23</v>
      </c>
      <c r="I48">
        <f t="array" ref="I48">_xll.dnaDirectDouble2D(A48)</f>
        <v>1.23</v>
      </c>
      <c r="J48">
        <f>_xll.dnaDirectInt16(A48)</f>
        <v>1</v>
      </c>
      <c r="K48">
        <f>_xll.dnaDirectUInt16(A48)</f>
        <v>1</v>
      </c>
      <c r="L48">
        <f>_xll.dnaDirectInt32(A48)</f>
        <v>1</v>
      </c>
      <c r="M48">
        <f>_xll.dnaDirectInt64(A48)</f>
        <v>1</v>
      </c>
      <c r="N48">
        <f>_xll.dnaDirectDecimal(A48)</f>
        <v>1.23</v>
      </c>
      <c r="O48">
        <f>_xll.dnaDirectDateTime(A48)</f>
        <v>1.23</v>
      </c>
      <c r="P48" t="b">
        <f>_xll.dnaDirectBoolean(A48)</f>
        <v>1</v>
      </c>
    </row>
    <row r="49" spans="1:16" x14ac:dyDescent="0.25">
      <c r="A49" s="7">
        <v>5.7638888888888885E-2</v>
      </c>
      <c r="B49" t="str">
        <f>_xll.dnaDescribe(A49)</f>
        <v>Double: 0.0576388888888889</v>
      </c>
      <c r="C49">
        <f>_xll.dnaDirectObject(A49)</f>
        <v>5.7638888888888885E-2</v>
      </c>
      <c r="D49">
        <f t="array" ref="D49">_xll.dnaDirectObject1D(A49)</f>
        <v>5.7638888888888885E-2</v>
      </c>
      <c r="E49">
        <f t="array" ref="E49">_xll.dnaDirectObject2D(A49)</f>
        <v>5.7638888888888885E-2</v>
      </c>
      <c r="F49" t="str">
        <f>_xll.dnaDirectString(A49)</f>
        <v>0.0576388888888889</v>
      </c>
      <c r="G49">
        <f>_xll.dnaDirectDouble(A49)</f>
        <v>5.7638888888888885E-2</v>
      </c>
      <c r="H49">
        <f t="array" ref="H49">_xll.dnaDirectDouble1D(A49)</f>
        <v>5.7638888888888885E-2</v>
      </c>
      <c r="I49">
        <f t="array" ref="I49">_xll.dnaDirectDouble2D(A49)</f>
        <v>5.7638888888888885E-2</v>
      </c>
      <c r="J49">
        <f>_xll.dnaDirectInt16(A49)</f>
        <v>0</v>
      </c>
      <c r="K49">
        <f>_xll.dnaDirectUInt16(A49)</f>
        <v>0</v>
      </c>
      <c r="L49">
        <f>_xll.dnaDirectInt32(A49)</f>
        <v>0</v>
      </c>
      <c r="M49">
        <f>_xll.dnaDirectInt64(A49)</f>
        <v>0</v>
      </c>
      <c r="N49">
        <f>_xll.dnaDirectDecimal(A49)</f>
        <v>5.7638888888888899E-2</v>
      </c>
      <c r="O49">
        <f>_xll.dnaDirectDateTime(A49)</f>
        <v>5.7638888888888892E-2</v>
      </c>
      <c r="P49" t="b">
        <f>_xll.dnaDirectBoolean(A49)</f>
        <v>1</v>
      </c>
    </row>
    <row r="50" spans="1:16" x14ac:dyDescent="0.25">
      <c r="A50" s="1">
        <v>0.6</v>
      </c>
      <c r="B50" t="str">
        <f>_xll.dnaDescribe(A50)</f>
        <v>Double: 0.6</v>
      </c>
      <c r="C50">
        <f>_xll.dnaDirectObject(A50)</f>
        <v>0.6</v>
      </c>
      <c r="D50">
        <f t="array" ref="D50">_xll.dnaDirectObject1D(A50)</f>
        <v>0.6</v>
      </c>
      <c r="E50">
        <f t="array" ref="E50">_xll.dnaDirectObject2D(A50)</f>
        <v>0.6</v>
      </c>
      <c r="F50" t="str">
        <f>_xll.dnaDirectString(A50)</f>
        <v>0.6</v>
      </c>
      <c r="G50">
        <f>_xll.dnaDirectDouble(A50)</f>
        <v>0.6</v>
      </c>
      <c r="H50">
        <f t="array" ref="H50">_xll.dnaDirectDouble1D(A50)</f>
        <v>0.6</v>
      </c>
      <c r="I50">
        <f t="array" ref="I50">_xll.dnaDirectDouble2D(A50)</f>
        <v>0.6</v>
      </c>
      <c r="J50">
        <f>_xll.dnaDirectInt16(A50)</f>
        <v>1</v>
      </c>
      <c r="K50">
        <f>_xll.dnaDirectUInt16(A50)</f>
        <v>1</v>
      </c>
      <c r="L50">
        <f>_xll.dnaDirectInt32(A50)</f>
        <v>1</v>
      </c>
      <c r="M50">
        <f>_xll.dnaDirectInt64(A50)</f>
        <v>1</v>
      </c>
      <c r="N50">
        <f>_xll.dnaDirectDecimal(A50)</f>
        <v>0.6</v>
      </c>
      <c r="O50">
        <f>_xll.dnaDirectDateTime(A50)</f>
        <v>0.6</v>
      </c>
      <c r="P50" t="b">
        <f>_xll.dnaDirectBoolean(A50)</f>
        <v>1</v>
      </c>
    </row>
    <row r="52" spans="1:16" x14ac:dyDescent="0.25">
      <c r="B52" t="b">
        <f>B3=B28</f>
        <v>1</v>
      </c>
      <c r="C52" t="b">
        <f t="shared" ref="C52:P52" si="20">C3=C28</f>
        <v>1</v>
      </c>
      <c r="D52" t="b">
        <f t="shared" si="20"/>
        <v>1</v>
      </c>
      <c r="E52" t="b">
        <f t="shared" si="20"/>
        <v>1</v>
      </c>
      <c r="F52" t="b">
        <f t="shared" si="20"/>
        <v>1</v>
      </c>
      <c r="G52" t="b">
        <f t="shared" si="20"/>
        <v>1</v>
      </c>
      <c r="H52" t="b">
        <f t="shared" si="20"/>
        <v>1</v>
      </c>
      <c r="I52" t="b">
        <f t="shared" si="20"/>
        <v>1</v>
      </c>
      <c r="J52" t="b">
        <f t="shared" si="20"/>
        <v>1</v>
      </c>
      <c r="K52" t="b">
        <f t="shared" si="20"/>
        <v>1</v>
      </c>
      <c r="L52" t="b">
        <f t="shared" si="20"/>
        <v>1</v>
      </c>
      <c r="M52" t="b">
        <f t="shared" si="20"/>
        <v>1</v>
      </c>
      <c r="N52" t="b">
        <f t="shared" si="20"/>
        <v>1</v>
      </c>
      <c r="O52" t="b">
        <f t="shared" si="20"/>
        <v>1</v>
      </c>
      <c r="P52" t="b">
        <f t="shared" si="20"/>
        <v>1</v>
      </c>
    </row>
    <row r="53" spans="1:16" x14ac:dyDescent="0.25">
      <c r="B53" t="b">
        <f t="shared" ref="B53:P53" si="21">B4=B29</f>
        <v>1</v>
      </c>
      <c r="C53" t="e">
        <f t="shared" si="21"/>
        <v>#DIV/0!</v>
      </c>
      <c r="D53" t="e">
        <f t="shared" si="21"/>
        <v>#DIV/0!</v>
      </c>
      <c r="E53" t="e">
        <f t="shared" si="21"/>
        <v>#DIV/0!</v>
      </c>
      <c r="F53" t="e">
        <f t="shared" si="21"/>
        <v>#VALUE!</v>
      </c>
      <c r="G53" t="e">
        <f t="shared" si="21"/>
        <v>#VALUE!</v>
      </c>
      <c r="H53" t="e">
        <f t="shared" si="21"/>
        <v>#VALUE!</v>
      </c>
      <c r="I53" t="e">
        <f t="shared" si="21"/>
        <v>#VALUE!</v>
      </c>
      <c r="J53" t="e">
        <f t="shared" si="21"/>
        <v>#VALUE!</v>
      </c>
      <c r="K53" t="e">
        <f t="shared" si="21"/>
        <v>#VALUE!</v>
      </c>
      <c r="L53" t="e">
        <f t="shared" si="21"/>
        <v>#VALUE!</v>
      </c>
      <c r="M53" t="e">
        <f t="shared" si="21"/>
        <v>#VALUE!</v>
      </c>
      <c r="N53" t="e">
        <f t="shared" si="21"/>
        <v>#VALUE!</v>
      </c>
      <c r="O53" t="e">
        <f t="shared" si="21"/>
        <v>#VALUE!</v>
      </c>
      <c r="P53" t="e">
        <f t="shared" si="21"/>
        <v>#VALUE!</v>
      </c>
    </row>
    <row r="54" spans="1:16" x14ac:dyDescent="0.25">
      <c r="B54" t="b">
        <f t="shared" ref="B54:P54" si="22">B5=B30</f>
        <v>1</v>
      </c>
      <c r="C54" t="b">
        <f t="shared" si="22"/>
        <v>1</v>
      </c>
      <c r="D54" t="b">
        <f t="shared" si="22"/>
        <v>1</v>
      </c>
      <c r="E54" t="b">
        <f t="shared" si="22"/>
        <v>1</v>
      </c>
      <c r="F54" t="b">
        <f t="shared" si="22"/>
        <v>1</v>
      </c>
      <c r="G54" t="b">
        <f t="shared" si="22"/>
        <v>1</v>
      </c>
      <c r="H54" t="b">
        <f t="shared" si="22"/>
        <v>1</v>
      </c>
      <c r="I54" t="b">
        <f t="shared" si="22"/>
        <v>1</v>
      </c>
      <c r="J54" t="b">
        <f t="shared" si="22"/>
        <v>1</v>
      </c>
      <c r="K54" t="b">
        <f t="shared" si="22"/>
        <v>1</v>
      </c>
      <c r="L54" t="b">
        <f t="shared" si="22"/>
        <v>1</v>
      </c>
      <c r="M54" t="b">
        <f t="shared" si="22"/>
        <v>1</v>
      </c>
      <c r="N54" t="b">
        <f t="shared" si="22"/>
        <v>1</v>
      </c>
      <c r="O54" t="b">
        <f t="shared" si="22"/>
        <v>1</v>
      </c>
      <c r="P54" t="b">
        <f t="shared" si="22"/>
        <v>1</v>
      </c>
    </row>
    <row r="55" spans="1:16" x14ac:dyDescent="0.25">
      <c r="B55" t="b">
        <f t="shared" ref="B55:P55" si="23">B6=B31</f>
        <v>1</v>
      </c>
      <c r="C55" t="b">
        <f t="shared" si="23"/>
        <v>1</v>
      </c>
      <c r="D55" t="b">
        <f t="shared" si="23"/>
        <v>1</v>
      </c>
      <c r="E55" t="b">
        <f t="shared" si="23"/>
        <v>1</v>
      </c>
      <c r="F55" t="b">
        <f t="shared" si="23"/>
        <v>1</v>
      </c>
      <c r="G55" t="b">
        <f t="shared" si="23"/>
        <v>1</v>
      </c>
      <c r="H55" t="b">
        <f t="shared" si="23"/>
        <v>1</v>
      </c>
      <c r="I55" t="b">
        <f t="shared" si="23"/>
        <v>1</v>
      </c>
      <c r="J55" t="b">
        <f t="shared" si="23"/>
        <v>1</v>
      </c>
      <c r="K55" t="b">
        <f t="shared" si="23"/>
        <v>1</v>
      </c>
      <c r="L55" t="b">
        <f t="shared" si="23"/>
        <v>1</v>
      </c>
      <c r="M55" t="b">
        <f t="shared" si="23"/>
        <v>1</v>
      </c>
      <c r="N55" t="b">
        <f t="shared" si="23"/>
        <v>1</v>
      </c>
      <c r="O55" t="b">
        <f t="shared" si="23"/>
        <v>1</v>
      </c>
      <c r="P55" t="b">
        <f t="shared" si="23"/>
        <v>1</v>
      </c>
    </row>
    <row r="56" spans="1:16" x14ac:dyDescent="0.25">
      <c r="B56" t="b">
        <f t="shared" ref="B56:P56" si="24">B7=B32</f>
        <v>1</v>
      </c>
      <c r="C56" t="b">
        <f t="shared" si="24"/>
        <v>1</v>
      </c>
      <c r="D56" t="b">
        <f t="shared" si="24"/>
        <v>1</v>
      </c>
      <c r="E56" t="b">
        <f t="shared" si="24"/>
        <v>1</v>
      </c>
      <c r="F56" t="b">
        <f t="shared" si="24"/>
        <v>1</v>
      </c>
      <c r="G56" t="b">
        <f t="shared" si="24"/>
        <v>1</v>
      </c>
      <c r="H56" t="b">
        <f t="shared" si="24"/>
        <v>1</v>
      </c>
      <c r="I56" t="b">
        <f t="shared" si="24"/>
        <v>1</v>
      </c>
      <c r="J56" t="b">
        <f t="shared" si="24"/>
        <v>1</v>
      </c>
      <c r="K56" t="b">
        <f t="shared" si="24"/>
        <v>1</v>
      </c>
      <c r="L56" t="b">
        <f t="shared" si="24"/>
        <v>1</v>
      </c>
      <c r="M56" t="b">
        <f t="shared" si="24"/>
        <v>1</v>
      </c>
      <c r="N56" t="b">
        <f t="shared" si="24"/>
        <v>1</v>
      </c>
      <c r="O56" t="b">
        <f t="shared" si="24"/>
        <v>1</v>
      </c>
      <c r="P56" t="b">
        <f t="shared" si="24"/>
        <v>1</v>
      </c>
    </row>
    <row r="57" spans="1:16" x14ac:dyDescent="0.25">
      <c r="B57" t="b">
        <f t="shared" ref="B57:P57" si="25">B8=B33</f>
        <v>1</v>
      </c>
      <c r="C57" t="b">
        <f t="shared" si="25"/>
        <v>1</v>
      </c>
      <c r="D57" t="b">
        <f t="shared" si="25"/>
        <v>1</v>
      </c>
      <c r="E57" t="b">
        <f t="shared" si="25"/>
        <v>1</v>
      </c>
      <c r="F57" t="b">
        <f t="shared" si="25"/>
        <v>1</v>
      </c>
      <c r="G57" t="b">
        <f t="shared" si="25"/>
        <v>1</v>
      </c>
      <c r="H57" t="b">
        <f t="shared" si="25"/>
        <v>1</v>
      </c>
      <c r="I57" t="b">
        <f t="shared" si="25"/>
        <v>1</v>
      </c>
      <c r="J57" t="b">
        <f t="shared" si="25"/>
        <v>1</v>
      </c>
      <c r="K57" t="b">
        <f t="shared" si="25"/>
        <v>1</v>
      </c>
      <c r="L57" t="b">
        <f t="shared" si="25"/>
        <v>1</v>
      </c>
      <c r="M57" t="b">
        <f t="shared" si="25"/>
        <v>1</v>
      </c>
      <c r="N57" t="b">
        <f t="shared" si="25"/>
        <v>1</v>
      </c>
      <c r="O57" t="b">
        <f t="shared" si="25"/>
        <v>1</v>
      </c>
      <c r="P57" t="b">
        <f t="shared" si="25"/>
        <v>1</v>
      </c>
    </row>
    <row r="58" spans="1:16" x14ac:dyDescent="0.25">
      <c r="B58" t="b">
        <f t="shared" ref="B58:P58" si="26">B9=B34</f>
        <v>1</v>
      </c>
      <c r="C58" t="b">
        <f t="shared" si="26"/>
        <v>1</v>
      </c>
      <c r="D58" t="b">
        <f t="shared" si="26"/>
        <v>1</v>
      </c>
      <c r="E58" t="b">
        <f t="shared" si="26"/>
        <v>1</v>
      </c>
      <c r="F58" t="b">
        <f t="shared" si="26"/>
        <v>1</v>
      </c>
      <c r="G58" t="b">
        <f t="shared" si="26"/>
        <v>1</v>
      </c>
      <c r="H58" t="b">
        <f t="shared" si="26"/>
        <v>1</v>
      </c>
      <c r="I58" t="b">
        <f t="shared" si="26"/>
        <v>1</v>
      </c>
      <c r="J58" t="b">
        <f t="shared" si="26"/>
        <v>1</v>
      </c>
      <c r="K58" t="b">
        <f t="shared" si="26"/>
        <v>1</v>
      </c>
      <c r="L58" t="b">
        <f t="shared" si="26"/>
        <v>1</v>
      </c>
      <c r="M58" t="b">
        <f t="shared" si="26"/>
        <v>1</v>
      </c>
      <c r="N58" t="b">
        <f t="shared" si="26"/>
        <v>1</v>
      </c>
      <c r="O58" t="b">
        <f t="shared" si="26"/>
        <v>1</v>
      </c>
      <c r="P58" t="b">
        <f t="shared" si="26"/>
        <v>1</v>
      </c>
    </row>
    <row r="59" spans="1:16" x14ac:dyDescent="0.25">
      <c r="B59" t="b">
        <f t="shared" ref="B59:P59" si="27">B10=B35</f>
        <v>1</v>
      </c>
      <c r="C59" t="b">
        <f t="shared" si="27"/>
        <v>1</v>
      </c>
      <c r="D59" t="b">
        <f t="shared" si="27"/>
        <v>1</v>
      </c>
      <c r="E59" t="b">
        <f t="shared" si="27"/>
        <v>1</v>
      </c>
      <c r="F59" t="b">
        <f t="shared" si="27"/>
        <v>1</v>
      </c>
      <c r="G59" t="b">
        <f t="shared" si="27"/>
        <v>1</v>
      </c>
      <c r="H59" t="b">
        <f t="shared" si="27"/>
        <v>1</v>
      </c>
      <c r="I59" t="b">
        <f t="shared" si="27"/>
        <v>1</v>
      </c>
      <c r="J59" t="b">
        <f t="shared" si="27"/>
        <v>1</v>
      </c>
      <c r="K59" t="e">
        <f t="shared" si="27"/>
        <v>#VALUE!</v>
      </c>
      <c r="L59" t="b">
        <f t="shared" si="27"/>
        <v>1</v>
      </c>
      <c r="M59" t="b">
        <f t="shared" si="27"/>
        <v>1</v>
      </c>
      <c r="N59" t="b">
        <f t="shared" si="27"/>
        <v>1</v>
      </c>
      <c r="O59" t="b">
        <f t="shared" si="27"/>
        <v>1</v>
      </c>
      <c r="P59" t="b">
        <f t="shared" si="27"/>
        <v>1</v>
      </c>
    </row>
    <row r="60" spans="1:16" x14ac:dyDescent="0.25">
      <c r="B60" t="b">
        <f t="shared" ref="B60:P60" si="28">B11=B36</f>
        <v>1</v>
      </c>
      <c r="C60" t="b">
        <f t="shared" si="28"/>
        <v>1</v>
      </c>
      <c r="D60" t="b">
        <f t="shared" si="28"/>
        <v>1</v>
      </c>
      <c r="E60" t="b">
        <f t="shared" si="28"/>
        <v>1</v>
      </c>
      <c r="F60" t="b">
        <f t="shared" si="28"/>
        <v>1</v>
      </c>
      <c r="G60" t="b">
        <f t="shared" si="28"/>
        <v>1</v>
      </c>
      <c r="H60" t="b">
        <f t="shared" si="28"/>
        <v>1</v>
      </c>
      <c r="I60" t="b">
        <f t="shared" si="28"/>
        <v>1</v>
      </c>
      <c r="J60" t="b">
        <f t="shared" si="28"/>
        <v>1</v>
      </c>
      <c r="K60" t="e">
        <f t="shared" si="28"/>
        <v>#VALUE!</v>
      </c>
      <c r="L60" t="b">
        <f t="shared" si="28"/>
        <v>1</v>
      </c>
      <c r="M60" t="b">
        <f t="shared" si="28"/>
        <v>1</v>
      </c>
      <c r="N60" t="b">
        <f t="shared" si="28"/>
        <v>1</v>
      </c>
      <c r="O60" t="b">
        <f t="shared" si="28"/>
        <v>1</v>
      </c>
      <c r="P60" t="b">
        <f t="shared" si="28"/>
        <v>1</v>
      </c>
    </row>
    <row r="61" spans="1:16" x14ac:dyDescent="0.25">
      <c r="B61" t="b">
        <f t="shared" ref="B61:P61" si="29">B12=B37</f>
        <v>1</v>
      </c>
      <c r="C61" t="b">
        <f t="shared" si="29"/>
        <v>1</v>
      </c>
      <c r="D61" t="b">
        <f t="shared" si="29"/>
        <v>1</v>
      </c>
      <c r="E61" t="b">
        <f t="shared" si="29"/>
        <v>1</v>
      </c>
      <c r="F61" t="b">
        <f t="shared" si="29"/>
        <v>1</v>
      </c>
      <c r="G61" t="b">
        <f t="shared" si="29"/>
        <v>1</v>
      </c>
      <c r="H61" t="b">
        <f t="shared" si="29"/>
        <v>1</v>
      </c>
      <c r="I61" t="b">
        <f t="shared" si="29"/>
        <v>1</v>
      </c>
      <c r="J61" t="e">
        <f t="shared" si="29"/>
        <v>#VALUE!</v>
      </c>
      <c r="K61" t="b">
        <f t="shared" si="29"/>
        <v>1</v>
      </c>
      <c r="L61" t="b">
        <f t="shared" si="29"/>
        <v>1</v>
      </c>
      <c r="M61" t="b">
        <f t="shared" si="29"/>
        <v>1</v>
      </c>
      <c r="N61" t="b">
        <f t="shared" si="29"/>
        <v>1</v>
      </c>
      <c r="O61" t="b">
        <f t="shared" si="29"/>
        <v>1</v>
      </c>
      <c r="P61" t="b">
        <f t="shared" si="29"/>
        <v>1</v>
      </c>
    </row>
    <row r="62" spans="1:16" x14ac:dyDescent="0.25">
      <c r="B62" t="b">
        <f t="shared" ref="B62:P62" si="30">B13=B38</f>
        <v>1</v>
      </c>
      <c r="C62" t="b">
        <f t="shared" si="30"/>
        <v>1</v>
      </c>
      <c r="D62" t="b">
        <f t="shared" si="30"/>
        <v>1</v>
      </c>
      <c r="E62" t="b">
        <f t="shared" si="30"/>
        <v>1</v>
      </c>
      <c r="F62" t="b">
        <f t="shared" si="30"/>
        <v>1</v>
      </c>
      <c r="G62" t="b">
        <f t="shared" si="30"/>
        <v>1</v>
      </c>
      <c r="H62" t="b">
        <f t="shared" si="30"/>
        <v>1</v>
      </c>
      <c r="I62" t="b">
        <f t="shared" si="30"/>
        <v>1</v>
      </c>
      <c r="J62" t="b">
        <f t="shared" si="30"/>
        <v>1</v>
      </c>
      <c r="K62" t="b">
        <f t="shared" si="30"/>
        <v>1</v>
      </c>
      <c r="L62" t="b">
        <f t="shared" si="30"/>
        <v>1</v>
      </c>
      <c r="M62" t="b">
        <f t="shared" si="30"/>
        <v>1</v>
      </c>
      <c r="N62" t="b">
        <f t="shared" si="30"/>
        <v>1</v>
      </c>
      <c r="O62" t="b">
        <f t="shared" si="30"/>
        <v>1</v>
      </c>
      <c r="P62" t="b">
        <f t="shared" si="30"/>
        <v>1</v>
      </c>
    </row>
    <row r="63" spans="1:16" x14ac:dyDescent="0.25">
      <c r="B63" t="b">
        <f t="shared" ref="B63:P63" si="31">B14=B39</f>
        <v>1</v>
      </c>
      <c r="C63" t="b">
        <f t="shared" si="31"/>
        <v>1</v>
      </c>
      <c r="D63" t="b">
        <f t="shared" si="31"/>
        <v>1</v>
      </c>
      <c r="E63" t="b">
        <f t="shared" si="31"/>
        <v>1</v>
      </c>
      <c r="F63" t="b">
        <f t="shared" si="31"/>
        <v>1</v>
      </c>
      <c r="G63" t="b">
        <f t="shared" si="31"/>
        <v>1</v>
      </c>
      <c r="H63" t="b">
        <f t="shared" si="31"/>
        <v>1</v>
      </c>
      <c r="I63" t="b">
        <f t="shared" si="31"/>
        <v>1</v>
      </c>
      <c r="J63" t="b">
        <f t="shared" si="31"/>
        <v>1</v>
      </c>
      <c r="K63" t="b">
        <f t="shared" si="31"/>
        <v>1</v>
      </c>
      <c r="L63" t="b">
        <f t="shared" si="31"/>
        <v>1</v>
      </c>
      <c r="M63" t="b">
        <f t="shared" si="31"/>
        <v>1</v>
      </c>
      <c r="N63" t="b">
        <f t="shared" si="31"/>
        <v>1</v>
      </c>
      <c r="O63" t="b">
        <f t="shared" si="31"/>
        <v>1</v>
      </c>
      <c r="P63" t="b">
        <f t="shared" si="31"/>
        <v>1</v>
      </c>
    </row>
    <row r="64" spans="1:16" x14ac:dyDescent="0.25">
      <c r="B64" t="b">
        <f t="shared" ref="B64:P64" si="32">B15=B40</f>
        <v>1</v>
      </c>
      <c r="C64" t="b">
        <f t="shared" si="32"/>
        <v>1</v>
      </c>
      <c r="D64" t="b">
        <f t="shared" si="32"/>
        <v>1</v>
      </c>
      <c r="E64" t="b">
        <f t="shared" si="32"/>
        <v>1</v>
      </c>
      <c r="F64" t="b">
        <f t="shared" si="32"/>
        <v>1</v>
      </c>
      <c r="G64" t="b">
        <f t="shared" si="32"/>
        <v>1</v>
      </c>
      <c r="H64" t="b">
        <f t="shared" si="32"/>
        <v>1</v>
      </c>
      <c r="I64" t="b">
        <f t="shared" si="32"/>
        <v>1</v>
      </c>
      <c r="J64" t="e">
        <f t="shared" si="32"/>
        <v>#VALUE!</v>
      </c>
      <c r="K64" t="b">
        <f t="shared" si="32"/>
        <v>1</v>
      </c>
      <c r="L64" t="b">
        <f t="shared" si="32"/>
        <v>1</v>
      </c>
      <c r="M64" t="b">
        <f t="shared" si="32"/>
        <v>1</v>
      </c>
      <c r="N64" t="b">
        <f t="shared" si="32"/>
        <v>1</v>
      </c>
      <c r="O64" t="b">
        <f t="shared" si="32"/>
        <v>1</v>
      </c>
      <c r="P64" t="b">
        <f t="shared" si="32"/>
        <v>1</v>
      </c>
    </row>
    <row r="65" spans="2:16" x14ac:dyDescent="0.25">
      <c r="B65" t="b">
        <f t="shared" ref="B65:P65" si="33">B16=B41</f>
        <v>1</v>
      </c>
      <c r="C65" t="b">
        <f t="shared" si="33"/>
        <v>1</v>
      </c>
      <c r="D65" t="b">
        <f t="shared" si="33"/>
        <v>1</v>
      </c>
      <c r="E65" t="b">
        <f t="shared" si="33"/>
        <v>1</v>
      </c>
      <c r="F65" t="b">
        <f t="shared" si="33"/>
        <v>1</v>
      </c>
      <c r="G65" t="b">
        <f t="shared" si="33"/>
        <v>1</v>
      </c>
      <c r="H65" t="b">
        <f t="shared" si="33"/>
        <v>1</v>
      </c>
      <c r="I65" t="b">
        <f t="shared" si="33"/>
        <v>1</v>
      </c>
      <c r="J65" t="b">
        <f t="shared" si="33"/>
        <v>1</v>
      </c>
      <c r="K65" t="b">
        <f t="shared" si="33"/>
        <v>1</v>
      </c>
      <c r="L65" t="b">
        <f t="shared" si="33"/>
        <v>1</v>
      </c>
      <c r="M65" t="b">
        <f t="shared" si="33"/>
        <v>1</v>
      </c>
      <c r="N65" t="b">
        <f t="shared" si="33"/>
        <v>1</v>
      </c>
      <c r="O65" t="b">
        <f t="shared" si="33"/>
        <v>1</v>
      </c>
      <c r="P65" t="b">
        <f t="shared" si="33"/>
        <v>1</v>
      </c>
    </row>
    <row r="66" spans="2:16" x14ac:dyDescent="0.25">
      <c r="B66" t="b">
        <f t="shared" ref="B66:P66" si="34">B17=B42</f>
        <v>1</v>
      </c>
      <c r="C66" t="e">
        <f t="shared" si="34"/>
        <v>#N/A</v>
      </c>
      <c r="D66" t="e">
        <f t="shared" si="34"/>
        <v>#N/A</v>
      </c>
      <c r="E66" t="e">
        <f t="shared" si="34"/>
        <v>#N/A</v>
      </c>
      <c r="F66" t="e">
        <f t="shared" si="34"/>
        <v>#VALUE!</v>
      </c>
      <c r="G66" t="e">
        <f t="shared" si="34"/>
        <v>#VALUE!</v>
      </c>
      <c r="H66" t="e">
        <f t="shared" si="34"/>
        <v>#VALUE!</v>
      </c>
      <c r="I66" t="e">
        <f t="shared" si="34"/>
        <v>#VALUE!</v>
      </c>
      <c r="J66" t="e">
        <f t="shared" si="34"/>
        <v>#VALUE!</v>
      </c>
      <c r="K66" t="e">
        <f t="shared" si="34"/>
        <v>#VALUE!</v>
      </c>
      <c r="L66" t="e">
        <f t="shared" si="34"/>
        <v>#VALUE!</v>
      </c>
      <c r="M66" t="e">
        <f t="shared" si="34"/>
        <v>#VALUE!</v>
      </c>
      <c r="N66" t="e">
        <f t="shared" si="34"/>
        <v>#VALUE!</v>
      </c>
      <c r="O66" t="e">
        <f t="shared" si="34"/>
        <v>#VALUE!</v>
      </c>
      <c r="P66" t="e">
        <f t="shared" si="34"/>
        <v>#VALUE!</v>
      </c>
    </row>
    <row r="67" spans="2:16" x14ac:dyDescent="0.25">
      <c r="B67" t="b">
        <f t="shared" ref="B67:P67" si="35">B18=B43</f>
        <v>1</v>
      </c>
      <c r="C67" t="e">
        <f t="shared" si="35"/>
        <v>#NUM!</v>
      </c>
      <c r="D67" t="e">
        <f t="shared" si="35"/>
        <v>#NUM!</v>
      </c>
      <c r="E67" t="e">
        <f t="shared" si="35"/>
        <v>#NUM!</v>
      </c>
      <c r="F67" t="e">
        <f t="shared" si="35"/>
        <v>#VALUE!</v>
      </c>
      <c r="G67" t="e">
        <f t="shared" si="35"/>
        <v>#VALUE!</v>
      </c>
      <c r="H67" t="e">
        <f t="shared" si="35"/>
        <v>#VALUE!</v>
      </c>
      <c r="I67" t="e">
        <f t="shared" si="35"/>
        <v>#VALUE!</v>
      </c>
      <c r="J67" t="e">
        <f t="shared" si="35"/>
        <v>#VALUE!</v>
      </c>
      <c r="K67" t="e">
        <f t="shared" si="35"/>
        <v>#VALUE!</v>
      </c>
      <c r="L67" t="e">
        <f t="shared" si="35"/>
        <v>#VALUE!</v>
      </c>
      <c r="M67" t="e">
        <f t="shared" si="35"/>
        <v>#VALUE!</v>
      </c>
      <c r="N67" t="e">
        <f t="shared" si="35"/>
        <v>#VALUE!</v>
      </c>
      <c r="O67" t="e">
        <f t="shared" si="35"/>
        <v>#VALUE!</v>
      </c>
      <c r="P67" t="e">
        <f t="shared" si="35"/>
        <v>#VALUE!</v>
      </c>
    </row>
    <row r="68" spans="2:16" x14ac:dyDescent="0.25">
      <c r="B68" t="b">
        <f t="shared" ref="B68:P68" si="36">B19=B44</f>
        <v>1</v>
      </c>
      <c r="C68" t="e">
        <f t="shared" si="36"/>
        <v>#VALUE!</v>
      </c>
      <c r="D68" t="e">
        <f t="shared" si="36"/>
        <v>#VALUE!</v>
      </c>
      <c r="E68" t="e">
        <f t="shared" si="36"/>
        <v>#VALUE!</v>
      </c>
      <c r="F68" t="e">
        <f t="shared" si="36"/>
        <v>#VALUE!</v>
      </c>
      <c r="G68" t="e">
        <f t="shared" si="36"/>
        <v>#VALUE!</v>
      </c>
      <c r="H68" t="e">
        <f t="shared" si="36"/>
        <v>#VALUE!</v>
      </c>
      <c r="I68" t="e">
        <f t="shared" si="36"/>
        <v>#VALUE!</v>
      </c>
      <c r="J68" t="e">
        <f t="shared" si="36"/>
        <v>#VALUE!</v>
      </c>
      <c r="K68" t="e">
        <f t="shared" si="36"/>
        <v>#VALUE!</v>
      </c>
      <c r="L68" t="e">
        <f t="shared" si="36"/>
        <v>#VALUE!</v>
      </c>
      <c r="M68" t="e">
        <f t="shared" si="36"/>
        <v>#VALUE!</v>
      </c>
      <c r="N68" t="e">
        <f t="shared" si="36"/>
        <v>#VALUE!</v>
      </c>
      <c r="O68" t="e">
        <f t="shared" si="36"/>
        <v>#VALUE!</v>
      </c>
      <c r="P68" t="e">
        <f t="shared" si="36"/>
        <v>#VALUE!</v>
      </c>
    </row>
    <row r="69" spans="2:16" x14ac:dyDescent="0.25">
      <c r="B69" t="b">
        <f t="shared" ref="B69:P69" ca="1" si="37">B20=B45</f>
        <v>1</v>
      </c>
      <c r="C69" t="e">
        <f t="shared" ca="1" si="37"/>
        <v>#NAME?</v>
      </c>
      <c r="D69" t="e">
        <f t="shared" ca="1" si="37"/>
        <v>#NAME?</v>
      </c>
      <c r="E69" t="e">
        <f t="shared" ca="1" si="37"/>
        <v>#NAME?</v>
      </c>
      <c r="F69" t="e">
        <f t="shared" ca="1" si="37"/>
        <v>#VALUE!</v>
      </c>
      <c r="G69" t="e">
        <f t="shared" ca="1" si="37"/>
        <v>#VALUE!</v>
      </c>
      <c r="H69" t="e">
        <f t="shared" ca="1" si="37"/>
        <v>#VALUE!</v>
      </c>
      <c r="I69" t="e">
        <f t="shared" ca="1" si="37"/>
        <v>#VALUE!</v>
      </c>
      <c r="J69" t="e">
        <f t="shared" ca="1" si="37"/>
        <v>#VALUE!</v>
      </c>
      <c r="K69" t="e">
        <f t="shared" ca="1" si="37"/>
        <v>#VALUE!</v>
      </c>
      <c r="L69" t="e">
        <f t="shared" ca="1" si="37"/>
        <v>#VALUE!</v>
      </c>
      <c r="M69" t="e">
        <f t="shared" ca="1" si="37"/>
        <v>#VALUE!</v>
      </c>
      <c r="N69" t="e">
        <f t="shared" ca="1" si="37"/>
        <v>#VALUE!</v>
      </c>
      <c r="O69" t="e">
        <f t="shared" ca="1" si="37"/>
        <v>#VALUE!</v>
      </c>
      <c r="P69" t="e">
        <f t="shared" ca="1" si="37"/>
        <v>#VALUE!</v>
      </c>
    </row>
    <row r="70" spans="2:16" x14ac:dyDescent="0.25">
      <c r="B70" t="b">
        <f t="shared" ref="B70:P70" si="38">B21=B46</f>
        <v>1</v>
      </c>
      <c r="C70" t="b">
        <f t="shared" si="38"/>
        <v>1</v>
      </c>
      <c r="D70" t="b">
        <f t="shared" si="38"/>
        <v>1</v>
      </c>
      <c r="E70" t="b">
        <f t="shared" si="38"/>
        <v>1</v>
      </c>
      <c r="F70" t="b">
        <f t="shared" si="38"/>
        <v>1</v>
      </c>
      <c r="G70" t="e">
        <f t="shared" si="38"/>
        <v>#VALUE!</v>
      </c>
      <c r="H70" t="e">
        <f t="shared" si="38"/>
        <v>#VALUE!</v>
      </c>
      <c r="I70" t="e">
        <f t="shared" si="38"/>
        <v>#VALUE!</v>
      </c>
      <c r="J70" t="e">
        <f t="shared" si="38"/>
        <v>#VALUE!</v>
      </c>
      <c r="K70" t="e">
        <f t="shared" si="38"/>
        <v>#VALUE!</v>
      </c>
      <c r="L70" t="e">
        <f t="shared" si="38"/>
        <v>#VALUE!</v>
      </c>
      <c r="M70" t="e">
        <f t="shared" si="38"/>
        <v>#VALUE!</v>
      </c>
      <c r="N70" t="e">
        <f t="shared" si="38"/>
        <v>#VALUE!</v>
      </c>
      <c r="O70" t="e">
        <f t="shared" si="38"/>
        <v>#VALUE!</v>
      </c>
      <c r="P70" t="e">
        <f t="shared" si="38"/>
        <v>#VALUE!</v>
      </c>
    </row>
    <row r="71" spans="2:16" x14ac:dyDescent="0.25">
      <c r="B71" t="b">
        <f t="shared" ref="B71:P71" si="39">B22=B47</f>
        <v>1</v>
      </c>
      <c r="C71" t="b">
        <f t="shared" si="39"/>
        <v>1</v>
      </c>
      <c r="D71" t="b">
        <f t="shared" si="39"/>
        <v>1</v>
      </c>
      <c r="E71" t="b">
        <f t="shared" si="39"/>
        <v>1</v>
      </c>
      <c r="F71" t="b">
        <f t="shared" si="39"/>
        <v>1</v>
      </c>
      <c r="G71" t="b">
        <f t="shared" si="39"/>
        <v>1</v>
      </c>
      <c r="H71" t="b">
        <f t="shared" si="39"/>
        <v>1</v>
      </c>
      <c r="I71" t="b">
        <f t="shared" si="39"/>
        <v>1</v>
      </c>
      <c r="J71" t="e">
        <f t="shared" si="39"/>
        <v>#VALUE!</v>
      </c>
      <c r="K71" t="e">
        <f t="shared" si="39"/>
        <v>#VALUE!</v>
      </c>
      <c r="L71" t="e">
        <f t="shared" si="39"/>
        <v>#VALUE!</v>
      </c>
      <c r="M71" t="e">
        <f t="shared" si="39"/>
        <v>#VALUE!</v>
      </c>
      <c r="N71" t="e">
        <f t="shared" si="39"/>
        <v>#VALUE!</v>
      </c>
      <c r="O71" t="e">
        <f t="shared" si="39"/>
        <v>#VALUE!</v>
      </c>
      <c r="P71" t="b">
        <f t="shared" si="39"/>
        <v>1</v>
      </c>
    </row>
    <row r="72" spans="2:16" x14ac:dyDescent="0.25">
      <c r="B72" t="b">
        <f t="shared" ref="B72:P72" si="40">B23=B48</f>
        <v>1</v>
      </c>
      <c r="C72" t="b">
        <f t="shared" si="40"/>
        <v>1</v>
      </c>
      <c r="D72" t="b">
        <f t="shared" si="40"/>
        <v>1</v>
      </c>
      <c r="E72" t="b">
        <f t="shared" si="40"/>
        <v>1</v>
      </c>
      <c r="F72" t="b">
        <f t="shared" si="40"/>
        <v>1</v>
      </c>
      <c r="G72" t="b">
        <f t="shared" si="40"/>
        <v>1</v>
      </c>
      <c r="H72" t="b">
        <f t="shared" si="40"/>
        <v>1</v>
      </c>
      <c r="I72" t="b">
        <f t="shared" si="40"/>
        <v>1</v>
      </c>
      <c r="J72" t="b">
        <f t="shared" si="40"/>
        <v>1</v>
      </c>
      <c r="K72" t="b">
        <f t="shared" si="40"/>
        <v>1</v>
      </c>
      <c r="L72" t="b">
        <f t="shared" si="40"/>
        <v>1</v>
      </c>
      <c r="M72" t="b">
        <f t="shared" si="40"/>
        <v>1</v>
      </c>
      <c r="N72" t="b">
        <f t="shared" si="40"/>
        <v>1</v>
      </c>
      <c r="O72" t="b">
        <f t="shared" si="40"/>
        <v>1</v>
      </c>
      <c r="P72" t="b">
        <f t="shared" si="40"/>
        <v>1</v>
      </c>
    </row>
    <row r="73" spans="2:16" x14ac:dyDescent="0.25">
      <c r="B73" t="b">
        <f t="shared" ref="B73:P73" si="41">B24=B49</f>
        <v>1</v>
      </c>
      <c r="C73" t="b">
        <f t="shared" si="41"/>
        <v>1</v>
      </c>
      <c r="D73" t="b">
        <f t="shared" si="41"/>
        <v>1</v>
      </c>
      <c r="E73" t="b">
        <f t="shared" si="41"/>
        <v>1</v>
      </c>
      <c r="F73" t="b">
        <f t="shared" si="41"/>
        <v>1</v>
      </c>
      <c r="G73" t="b">
        <f t="shared" si="41"/>
        <v>1</v>
      </c>
      <c r="H73" t="b">
        <f t="shared" si="41"/>
        <v>1</v>
      </c>
      <c r="I73" t="b">
        <f t="shared" si="41"/>
        <v>1</v>
      </c>
      <c r="J73" t="b">
        <f t="shared" si="41"/>
        <v>1</v>
      </c>
      <c r="K73" t="b">
        <f t="shared" si="41"/>
        <v>1</v>
      </c>
      <c r="L73" t="b">
        <f t="shared" si="41"/>
        <v>1</v>
      </c>
      <c r="M73" t="b">
        <f t="shared" si="41"/>
        <v>1</v>
      </c>
      <c r="N73" t="b">
        <f t="shared" si="41"/>
        <v>1</v>
      </c>
      <c r="O73" t="b">
        <f t="shared" si="41"/>
        <v>1</v>
      </c>
      <c r="P73" t="b">
        <f t="shared" si="41"/>
        <v>1</v>
      </c>
    </row>
    <row r="74" spans="2:16" x14ac:dyDescent="0.25">
      <c r="B74" t="b">
        <f t="shared" ref="B74:P74" si="42">B25=B50</f>
        <v>1</v>
      </c>
      <c r="C74" t="b">
        <f t="shared" si="42"/>
        <v>1</v>
      </c>
      <c r="D74" t="b">
        <f t="shared" si="42"/>
        <v>1</v>
      </c>
      <c r="E74" t="b">
        <f t="shared" si="42"/>
        <v>1</v>
      </c>
      <c r="F74" t="b">
        <f t="shared" si="42"/>
        <v>1</v>
      </c>
      <c r="G74" t="b">
        <f t="shared" si="42"/>
        <v>1</v>
      </c>
      <c r="H74" t="b">
        <f t="shared" si="42"/>
        <v>1</v>
      </c>
      <c r="I74" t="b">
        <f t="shared" si="42"/>
        <v>1</v>
      </c>
      <c r="J74" t="b">
        <f t="shared" si="42"/>
        <v>1</v>
      </c>
      <c r="K74" t="b">
        <f t="shared" si="42"/>
        <v>1</v>
      </c>
      <c r="L74" t="b">
        <f t="shared" si="42"/>
        <v>1</v>
      </c>
      <c r="M74" t="b">
        <f t="shared" si="42"/>
        <v>1</v>
      </c>
      <c r="N74" t="b">
        <f t="shared" si="42"/>
        <v>1</v>
      </c>
      <c r="O74" t="b">
        <f t="shared" si="42"/>
        <v>1</v>
      </c>
      <c r="P74" t="b">
        <f t="shared" si="42"/>
        <v>1</v>
      </c>
    </row>
    <row r="75" spans="2:16" x14ac:dyDescent="0.25">
      <c r="P75"/>
    </row>
    <row r="76" spans="2:16" x14ac:dyDescent="0.25">
      <c r="P76"/>
    </row>
    <row r="77" spans="2:16" x14ac:dyDescent="0.25">
      <c r="P77"/>
    </row>
    <row r="78" spans="2:16" x14ac:dyDescent="0.25">
      <c r="P78"/>
    </row>
    <row r="79" spans="2:16" x14ac:dyDescent="0.25">
      <c r="P79"/>
    </row>
    <row r="80" spans="2:16" x14ac:dyDescent="0.25">
      <c r="P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2014-03-23T15:38:13Z</dcterms:created>
  <dcterms:modified xsi:type="dcterms:W3CDTF">2014-03-23T22:31:46Z</dcterms:modified>
</cp:coreProperties>
</file>